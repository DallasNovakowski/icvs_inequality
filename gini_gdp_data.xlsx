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la\Google Drive\R Coding\icvs_inequality\"/>
    </mc:Choice>
  </mc:AlternateContent>
  <xr:revisionPtr revIDLastSave="0" documentId="8_{85FA8629-1ACC-453C-8E78-277A13008442}" xr6:coauthVersionLast="46" xr6:coauthVersionMax="46" xr10:uidLastSave="{00000000-0000-0000-0000-000000000000}"/>
  <bookViews>
    <workbookView xWindow="13440" yWindow="6084" windowWidth="9600" windowHeight="8316" firstSheet="1" activeTab="1" xr2:uid="{00000000-000D-0000-FFFF-FFFF00000000}"/>
  </bookViews>
  <sheets>
    <sheet name="few countries average variables" sheetId="7" r:id="rId1"/>
    <sheet name="few countries all variables" sheetId="6" r:id="rId2"/>
    <sheet name="GDP data" sheetId="2" r:id="rId3"/>
    <sheet name="gini data" sheetId="1" r:id="rId4"/>
    <sheet name="poverty 1.90 (2)" sheetId="5" r:id="rId5"/>
    <sheet name="poverty 1.90" sheetId="3" r:id="rId6"/>
    <sheet name="poverty 5.50" sheetId="4" r:id="rId7"/>
  </sheets>
  <calcPr calcId="181029"/>
  <fileRecoveryPr repairLoad="1"/>
</workbook>
</file>

<file path=xl/calcChain.xml><?xml version="1.0" encoding="utf-8"?>
<calcChain xmlns="http://schemas.openxmlformats.org/spreadsheetml/2006/main">
  <c r="J29" i="7" l="1"/>
  <c r="J3" i="7"/>
  <c r="J4" i="7"/>
  <c r="J5" i="7"/>
  <c r="J6" i="7"/>
  <c r="J7" i="7"/>
  <c r="J8" i="7"/>
  <c r="J9" i="7"/>
  <c r="J10" i="7"/>
  <c r="J11" i="7"/>
  <c r="J12" i="7"/>
  <c r="J13" i="7"/>
  <c r="J15" i="7"/>
  <c r="J16" i="7"/>
  <c r="J17" i="7"/>
  <c r="J18" i="7"/>
  <c r="J19" i="7"/>
  <c r="J20" i="7"/>
  <c r="J21" i="7"/>
  <c r="J22" i="7"/>
  <c r="J23" i="7"/>
  <c r="J24" i="7"/>
  <c r="J25" i="7"/>
  <c r="J26" i="7"/>
  <c r="J28" i="7"/>
  <c r="J2" i="7"/>
  <c r="CO28" i="6"/>
  <c r="CO29" i="6"/>
  <c r="CO26" i="6"/>
  <c r="CO24" i="6"/>
  <c r="CO23" i="6"/>
  <c r="CO21" i="6"/>
  <c r="CO20" i="6"/>
  <c r="CO19" i="6"/>
  <c r="CO17" i="6"/>
  <c r="CO16" i="6"/>
  <c r="CO15" i="6"/>
  <c r="CO13" i="6"/>
  <c r="CO12" i="6"/>
  <c r="CO10" i="6"/>
  <c r="CO9" i="6"/>
  <c r="CO8" i="6"/>
  <c r="CO25" i="6"/>
  <c r="CO7" i="6"/>
  <c r="CO11" i="6"/>
  <c r="CO27" i="6"/>
  <c r="CO6" i="6"/>
  <c r="CO4" i="6"/>
  <c r="CO3" i="6"/>
  <c r="CK29" i="6"/>
  <c r="BT29" i="6"/>
  <c r="CK26" i="6"/>
  <c r="BT26" i="6"/>
  <c r="CK24" i="6"/>
  <c r="BT24" i="6"/>
  <c r="CK23" i="6"/>
  <c r="BT23" i="6"/>
  <c r="CK21" i="6"/>
  <c r="BT21" i="6"/>
  <c r="CK22" i="6"/>
  <c r="BT22" i="6"/>
  <c r="CK20" i="6"/>
  <c r="BT20" i="6"/>
  <c r="CK19" i="6"/>
  <c r="BT19" i="6"/>
  <c r="CK18" i="6"/>
  <c r="BT18" i="6"/>
  <c r="CK17" i="6"/>
  <c r="BT17" i="6"/>
  <c r="CK16" i="6"/>
  <c r="BT16" i="6"/>
  <c r="CK14" i="6"/>
  <c r="BT14" i="6"/>
  <c r="CK15" i="6"/>
  <c r="BT15" i="6"/>
  <c r="CK13" i="6"/>
  <c r="BT13" i="6"/>
  <c r="CK12" i="6"/>
  <c r="BT12" i="6"/>
  <c r="CK28" i="6"/>
  <c r="BT28" i="6"/>
  <c r="CK10" i="6"/>
  <c r="BT10" i="6"/>
  <c r="CK9" i="6"/>
  <c r="BT9" i="6"/>
  <c r="CK8" i="6"/>
  <c r="BT8" i="6"/>
  <c r="CK25" i="6"/>
  <c r="BT25" i="6"/>
  <c r="CK7" i="6"/>
  <c r="BT7" i="6"/>
  <c r="CK11" i="6"/>
  <c r="BT11" i="6"/>
  <c r="CK27" i="6"/>
  <c r="BT27" i="6"/>
  <c r="CK6" i="6"/>
  <c r="BT6" i="6"/>
  <c r="CK5" i="6"/>
  <c r="BT5" i="6"/>
  <c r="CK4" i="6"/>
  <c r="BT4" i="6"/>
  <c r="CK3" i="6"/>
  <c r="BT3" i="6"/>
  <c r="CK2" i="6"/>
  <c r="BT2" i="6"/>
  <c r="BC29" i="6"/>
  <c r="BC26" i="6"/>
  <c r="BC24" i="6"/>
  <c r="BC23" i="6"/>
  <c r="BC21" i="6"/>
  <c r="BC22" i="6"/>
  <c r="BC20" i="6"/>
  <c r="BC19" i="6"/>
  <c r="BC18" i="6"/>
  <c r="BC17" i="6"/>
  <c r="BC16" i="6"/>
  <c r="BC14" i="6"/>
  <c r="BC15" i="6"/>
  <c r="BC13" i="6"/>
  <c r="BC12" i="6"/>
  <c r="BC28" i="6"/>
  <c r="BC10" i="6"/>
  <c r="BC9" i="6"/>
  <c r="BC8" i="6"/>
  <c r="BC25" i="6"/>
  <c r="BC7" i="6"/>
  <c r="BC11" i="6"/>
  <c r="BC27" i="6"/>
  <c r="BC6" i="6"/>
  <c r="BC5" i="6"/>
  <c r="BC4" i="6"/>
  <c r="BC3" i="6"/>
  <c r="BC2" i="6"/>
  <c r="AO29" i="6"/>
  <c r="AO26" i="6"/>
  <c r="AO24" i="6"/>
  <c r="AO23" i="6"/>
  <c r="AO21" i="6"/>
  <c r="AO22" i="6"/>
  <c r="AO20" i="6"/>
  <c r="AO19" i="6"/>
  <c r="AO18" i="6"/>
  <c r="AO17" i="6"/>
  <c r="AO16" i="6"/>
  <c r="AO14" i="6"/>
  <c r="AO15" i="6"/>
  <c r="AO13" i="6"/>
  <c r="AO12" i="6"/>
  <c r="AO28" i="6"/>
  <c r="AO10" i="6"/>
  <c r="AO9" i="6"/>
  <c r="AO8" i="6"/>
  <c r="AO25" i="6"/>
  <c r="AO7" i="6"/>
  <c r="AO11" i="6"/>
  <c r="AO27" i="6"/>
  <c r="AO6" i="6"/>
  <c r="AO5" i="6"/>
  <c r="AO4" i="6"/>
  <c r="AO3" i="6"/>
  <c r="AO2" i="6"/>
  <c r="AB3" i="6"/>
  <c r="AB4" i="6"/>
  <c r="AB5" i="6"/>
  <c r="AB6" i="6"/>
  <c r="AB27" i="6"/>
  <c r="AB11" i="6"/>
  <c r="AB7" i="6"/>
  <c r="AB25" i="6"/>
  <c r="AB8" i="6"/>
  <c r="AB9" i="6"/>
  <c r="AB10" i="6"/>
  <c r="AB28" i="6"/>
  <c r="AB12" i="6"/>
  <c r="AB13" i="6"/>
  <c r="AB15" i="6"/>
  <c r="AB14" i="6"/>
  <c r="AB16" i="6"/>
  <c r="AB17" i="6"/>
  <c r="AB18" i="6"/>
  <c r="AB19" i="6"/>
  <c r="AB20" i="6"/>
  <c r="AB22" i="6"/>
  <c r="AB21" i="6"/>
  <c r="AB23" i="6"/>
  <c r="AB24" i="6"/>
  <c r="AB26" i="6"/>
  <c r="AB29" i="6"/>
  <c r="AB2" i="6"/>
  <c r="O3" i="6"/>
  <c r="O4" i="6"/>
  <c r="O5" i="6"/>
  <c r="O6" i="6"/>
  <c r="O27" i="6"/>
  <c r="O11" i="6"/>
  <c r="O7" i="6"/>
  <c r="O25" i="6"/>
  <c r="O8" i="6"/>
  <c r="O9" i="6"/>
  <c r="O10" i="6"/>
  <c r="O28" i="6"/>
  <c r="O12" i="6"/>
  <c r="O13" i="6"/>
  <c r="O15" i="6"/>
  <c r="O14" i="6"/>
  <c r="O16" i="6"/>
  <c r="O17" i="6"/>
  <c r="O18" i="6"/>
  <c r="O19" i="6"/>
  <c r="O20" i="6"/>
  <c r="O22" i="6"/>
  <c r="O21" i="6"/>
  <c r="O23" i="6"/>
  <c r="O24" i="6"/>
  <c r="O26" i="6"/>
  <c r="O29" i="6"/>
  <c r="O2" i="6"/>
</calcChain>
</file>

<file path=xl/sharedStrings.xml><?xml version="1.0" encoding="utf-8"?>
<sst xmlns="http://schemas.openxmlformats.org/spreadsheetml/2006/main" count="1929" uniqueCount="628">
  <si>
    <t>Country Name</t>
  </si>
  <si>
    <t>Country Code</t>
  </si>
  <si>
    <t>Aruba</t>
  </si>
  <si>
    <t>ABW</t>
  </si>
  <si>
    <t>SI.POV.GINI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</si>
  <si>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</si>
  <si>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</si>
  <si>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</si>
  <si>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</si>
  <si>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</si>
  <si>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</si>
  <si>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</si>
  <si>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</si>
  <si>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</si>
  <si>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</si>
  <si>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</si>
  <si>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</si>
  <si>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</si>
  <si>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</si>
  <si>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</si>
  <si>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</si>
  <si>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</si>
  <si>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</si>
  <si>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</si>
  <si>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</si>
  <si>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</si>
  <si>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</si>
  <si>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</si>
  <si>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</si>
  <si>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</si>
  <si>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</si>
  <si>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</si>
  <si>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</si>
  <si>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</si>
  <si>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</si>
  <si>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</si>
  <si>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</si>
  <si>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</si>
  <si>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</si>
  <si>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</si>
  <si>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</si>
  <si>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</si>
  <si>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</si>
  <si>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</si>
  <si>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</si>
  <si>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</si>
  <si>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</si>
  <si>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</si>
  <si>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</si>
  <si>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</si>
  <si>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</si>
  <si>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</si>
  <si>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</si>
  <si>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</si>
  <si>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</si>
  <si>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</si>
  <si>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</si>
  <si>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</si>
  <si>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</si>
  <si>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</si>
  <si>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</si>
  <si>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</si>
  <si>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</si>
  <si>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</si>
  <si>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</si>
  <si>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</si>
  <si>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</si>
  <si>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</si>
  <si>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</si>
  <si>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</si>
  <si>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</si>
  <si>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</si>
  <si>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</si>
  <si>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</si>
  <si>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</si>
  <si>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</si>
  <si>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</si>
  <si>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</si>
  <si>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</si>
  <si>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</si>
  <si>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</si>
  <si>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</si>
  <si>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</si>
  <si>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</si>
  <si>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</si>
  <si>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</si>
  <si>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</si>
  <si>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</si>
  <si>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</si>
  <si>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</si>
  <si>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</si>
  <si>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</si>
  <si>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</si>
  <si>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</si>
  <si>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</si>
  <si>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</si>
  <si>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</si>
  <si>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</si>
  <si>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</si>
  <si>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</si>
  <si>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</si>
  <si>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</si>
  <si>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</si>
  <si>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</si>
  <si>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</si>
  <si>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</si>
  <si>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</si>
  <si>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</si>
  <si>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</si>
  <si>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</si>
  <si>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</si>
  <si>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</si>
  <si>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</si>
  <si>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</si>
  <si>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</si>
  <si>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</si>
  <si>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</si>
  <si>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</si>
  <si>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</si>
  <si>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</si>
  <si>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</si>
  <si>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</si>
  <si>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</si>
  <si>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</si>
  <si>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</si>
  <si>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</si>
  <si>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</si>
  <si>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</si>
  <si>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</si>
  <si>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</si>
  <si>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</si>
  <si>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</si>
  <si>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</si>
  <si>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</si>
  <si>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</si>
  <si>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</si>
  <si>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</si>
  <si>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</si>
  <si>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</si>
  <si>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</si>
  <si>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</si>
  <si>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</si>
  <si>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</si>
  <si>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</si>
  <si>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</si>
  <si>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</si>
  <si>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</si>
  <si>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</si>
  <si>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</si>
  <si>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</si>
  <si>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</si>
  <si>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</si>
  <si>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</si>
  <si>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</si>
  <si>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</si>
  <si>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</si>
  <si>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</si>
  <si>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</si>
  <si>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</si>
  <si>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</si>
  <si>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</si>
  <si>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</si>
  <si>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</si>
  <si>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</si>
  <si>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</si>
  <si>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</si>
  <si>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</si>
  <si>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</si>
  <si>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</si>
  <si>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</si>
  <si>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</si>
  <si>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</si>
  <si>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</si>
  <si>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</si>
  <si>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</si>
  <si>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</si>
  <si>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</si>
  <si>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</si>
  <si>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</si>
  <si>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</si>
  <si>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</si>
  <si>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</si>
  <si>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</si>
  <si>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</si>
  <si>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</si>
  <si>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</si>
  <si>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</si>
  <si>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</si>
  <si>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</si>
  <si>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</si>
  <si>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</si>
  <si>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</si>
  <si>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</si>
  <si>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</si>
  <si>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</si>
  <si>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</si>
  <si>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</si>
  <si>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</si>
  <si>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</si>
  <si>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</si>
  <si>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</si>
  <si>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</si>
  <si>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</si>
  <si>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</si>
  <si>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</si>
  <si>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</si>
  <si>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</si>
  <si>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</si>
  <si>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</si>
  <si>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</si>
  <si>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</si>
  <si>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</si>
  <si>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</si>
  <si>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</si>
  <si>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</si>
  <si>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</si>
  <si>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</si>
  <si>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</si>
  <si>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</si>
  <si>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</si>
  <si>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</si>
  <si>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</si>
  <si>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</si>
  <si>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</si>
  <si>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</si>
  <si>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</si>
  <si>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</si>
  <si>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</si>
  <si>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</si>
  <si>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</si>
  <si>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</si>
  <si>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</si>
  <si>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</si>
  <si>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</si>
  <si>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</si>
  <si>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</si>
  <si>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</si>
  <si>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</si>
  <si>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</si>
  <si>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</si>
  <si>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</si>
  <si>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</si>
  <si>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</si>
  <si>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</si>
  <si>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</si>
  <si>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</si>
  <si>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</si>
  <si>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</si>
  <si>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</si>
  <si>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</si>
  <si>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</si>
  <si>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</si>
  <si>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</si>
  <si>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</si>
  <si>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</si>
  <si>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</si>
  <si>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</si>
  <si>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</si>
  <si>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</si>
  <si>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</si>
  <si>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</si>
  <si>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</si>
  <si>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</si>
  <si>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</si>
  <si>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</si>
  <si>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</si>
  <si>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</si>
  <si>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</si>
  <si>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</si>
  <si>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</si>
  <si>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</si>
  <si>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</si>
  <si>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</si>
  <si>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</si>
  <si>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</si>
  <si>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</si>
  <si>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</si>
  <si>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</si>
  <si>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</si>
  <si>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</si>
  <si>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</si>
  <si>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</si>
  <si>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</si>
  <si>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</si>
  <si>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</si>
  <si>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</si>
  <si>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</si>
  <si>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</si>
  <si>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</si>
  <si>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</si>
  <si>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</si>
  <si>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</si>
  <si>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</si>
  <si>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</si>
  <si>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</si>
  <si>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</si>
  <si>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</si>
  <si>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</si>
  <si>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</si>
  <si>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</si>
  <si>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</si>
  <si>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</si>
  <si>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</si>
  <si>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</si>
  <si>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</si>
  <si>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</si>
  <si>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</si>
  <si>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</si>
  <si>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</si>
  <si>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</si>
  <si>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</si>
  <si>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</si>
  <si>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</si>
  <si>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</si>
  <si>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</si>
  <si>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</si>
  <si>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</si>
  <si>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</si>
  <si>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</si>
  <si>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</si>
  <si>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</si>
  <si>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</si>
  <si>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</si>
  <si>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</si>
  <si>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</si>
  <si>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</si>
  <si>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</si>
  <si>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</si>
  <si>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</si>
  <si>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</si>
  <si>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</si>
  <si>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</si>
  <si>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</si>
  <si>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</si>
  <si>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</si>
  <si>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</si>
  <si>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</si>
  <si>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</si>
  <si>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</si>
  <si>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</si>
  <si>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</si>
  <si>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</si>
  <si>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</si>
  <si>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</si>
  <si>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</si>
  <si>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</si>
  <si>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</si>
  <si>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</si>
  <si>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</si>
  <si>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</si>
  <si>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</si>
  <si>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</si>
  <si>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</si>
  <si>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</si>
  <si>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</si>
  <si>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</si>
  <si>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</si>
  <si>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</si>
  <si>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</si>
  <si>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</si>
  <si>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</si>
  <si>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</si>
  <si>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</si>
  <si>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</si>
  <si>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</si>
  <si>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</si>
  <si>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</si>
  <si>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</si>
  <si>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</si>
  <si>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</si>
  <si>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</si>
  <si>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</si>
  <si>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</si>
  <si>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</si>
  <si>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</si>
  <si>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</si>
  <si>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</si>
  <si>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</si>
  <si>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</si>
  <si>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</si>
  <si>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</si>
  <si>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</si>
  <si>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</si>
  <si>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</si>
  <si>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</si>
  <si>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</si>
  <si>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</si>
  <si>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</si>
  <si>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</si>
  <si>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</si>
  <si>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</si>
  <si>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</si>
  <si>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</si>
  <si>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</si>
  <si>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</si>
  <si>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</si>
  <si>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</si>
  <si>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</si>
  <si>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</si>
  <si>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</si>
  <si>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</si>
  <si>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</si>
  <si>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</si>
  <si>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</si>
  <si>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</si>
  <si>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</si>
  <si>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</si>
  <si>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</si>
  <si>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</si>
  <si>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</si>
  <si>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</si>
  <si>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</si>
  <si>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</si>
  <si>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</si>
  <si>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</si>
  <si>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</si>
  <si>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</si>
  <si>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</si>
  <si>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</si>
  <si>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</si>
  <si>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</si>
  <si>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</si>
  <si>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</si>
  <si>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</si>
  <si>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</si>
  <si>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</si>
  <si>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</si>
  <si>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</si>
  <si>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</si>
  <si>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</si>
  <si>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</si>
  <si>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</si>
  <si>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</si>
  <si>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</si>
  <si>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</si>
  <si>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</si>
  <si>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</si>
  <si>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</si>
  <si>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</si>
  <si>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</si>
  <si>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</si>
  <si>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</si>
  <si>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</si>
  <si>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</si>
  <si>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</si>
  <si>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</si>
  <si>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</si>
  <si>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</si>
  <si>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</si>
  <si>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</si>
  <si>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</si>
  <si>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</si>
  <si>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</si>
  <si>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</si>
  <si>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</si>
  <si>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</si>
  <si>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</si>
  <si>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</si>
  <si>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</si>
  <si>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</si>
  <si>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</si>
  <si>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</si>
  <si>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</si>
  <si>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</si>
  <si>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</si>
  <si>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</si>
  <si>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</si>
  <si>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</si>
  <si>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</si>
  <si>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</si>
  <si>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</si>
  <si>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</si>
  <si>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</si>
  <si>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</si>
  <si>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</si>
  <si>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</si>
  <si>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</si>
  <si>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</si>
  <si>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</si>
  <si>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</si>
  <si>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</si>
  <si>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</si>
  <si>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</si>
  <si>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</si>
  <si>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</si>
  <si>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</si>
  <si>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</si>
  <si>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</si>
  <si>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</si>
  <si>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</si>
  <si>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</si>
  <si>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</si>
  <si>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</si>
  <si>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</si>
  <si>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</si>
  <si>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</si>
  <si>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</si>
  <si>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</si>
  <si>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</si>
  <si>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</si>
  <si>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</si>
  <si>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</si>
  <si>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</si>
  <si>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</si>
  <si>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</si>
  <si>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</si>
  <si>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</si>
  <si>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</si>
  <si>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</si>
  <si>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</si>
  <si>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</si>
  <si>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</si>
  <si>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</si>
  <si>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</si>
  <si>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</si>
  <si>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</si>
  <si>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</si>
  <si>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</si>
  <si>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</si>
  <si>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</si>
  <si>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</si>
  <si>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</si>
  <si>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</si>
  <si>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</si>
  <si>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</si>
  <si>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</si>
  <si>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</si>
  <si>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</si>
  <si>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</si>
  <si>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</si>
  <si>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</si>
  <si>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japan 2008</t>
  </si>
  <si>
    <t>https://www.indexmundi.com/facts/japan/indicator/SI.POV.GINI</t>
  </si>
  <si>
    <t>https://fred.stlouisfed.org/series/SIPOVGINIJPN</t>
  </si>
  <si>
    <t>https://www.chartbookofeconomicinequality.com/inequality-by-country/japan/</t>
  </si>
  <si>
    <t>gini_2000</t>
  </si>
  <si>
    <t>gini_2001</t>
  </si>
  <si>
    <t>gini_2002</t>
  </si>
  <si>
    <t>gini_2003</t>
  </si>
  <si>
    <t>gini_2004</t>
  </si>
  <si>
    <t>gini_2005</t>
  </si>
  <si>
    <t>gini_2006</t>
  </si>
  <si>
    <t>gini_2007</t>
  </si>
  <si>
    <t>gini_2008</t>
  </si>
  <si>
    <t>gini_2009</t>
  </si>
  <si>
    <t>gini_2010</t>
  </si>
  <si>
    <t>gini_2011</t>
  </si>
  <si>
    <t>pov_550_2000</t>
  </si>
  <si>
    <t>pov_550_2001</t>
  </si>
  <si>
    <t>pov_550_2002</t>
  </si>
  <si>
    <t>pov_550_2003</t>
  </si>
  <si>
    <t>pov_550_2004</t>
  </si>
  <si>
    <t>pov_550_2005</t>
  </si>
  <si>
    <t>pov_550_2006</t>
  </si>
  <si>
    <t>pov_550_2007</t>
  </si>
  <si>
    <t>pov_550_2008</t>
  </si>
  <si>
    <t>pov_550_2009</t>
  </si>
  <si>
    <t>pov_550_2010</t>
  </si>
  <si>
    <t>pov_550_2011</t>
  </si>
  <si>
    <t>pov_190_2000</t>
  </si>
  <si>
    <t>pov_190_2001</t>
  </si>
  <si>
    <t>pov_190_2002</t>
  </si>
  <si>
    <t>pov_190_2003</t>
  </si>
  <si>
    <t>pov_190_2004</t>
  </si>
  <si>
    <t>pov_190_2005</t>
  </si>
  <si>
    <t>pov_190_2006</t>
  </si>
  <si>
    <t>pov_190_2007</t>
  </si>
  <si>
    <t>pov_190_2008</t>
  </si>
  <si>
    <t>pov_190_2009</t>
  </si>
  <si>
    <t>pov_190_2010</t>
  </si>
  <si>
    <t>pov_190_2011</t>
  </si>
  <si>
    <t>gdp_2000</t>
  </si>
  <si>
    <t>gdp_2001</t>
  </si>
  <si>
    <t>gdp_2002</t>
  </si>
  <si>
    <t>gdp_2003</t>
  </si>
  <si>
    <t>gdp_2004</t>
  </si>
  <si>
    <t>gdp_2005</t>
  </si>
  <si>
    <t>gdp_2006</t>
  </si>
  <si>
    <t>gdp_2007</t>
  </si>
  <si>
    <t>gdp_2008</t>
  </si>
  <si>
    <t>gdp_2009</t>
  </si>
  <si>
    <t>gdp_2010</t>
  </si>
  <si>
    <t>gdp_2011</t>
  </si>
  <si>
    <t>r_name</t>
  </si>
  <si>
    <t>gdp_2004_6_av</t>
  </si>
  <si>
    <t>gini_2004_6_av</t>
  </si>
  <si>
    <t>pov190_2004_6_av</t>
  </si>
  <si>
    <t>pov550_2004_6_av</t>
  </si>
  <si>
    <t>wb_gini_2004_6</t>
  </si>
  <si>
    <t>lis_gini_2004</t>
  </si>
  <si>
    <t>lis_gini_2005</t>
  </si>
  <si>
    <t>lis_gini_2006</t>
  </si>
  <si>
    <t>lis_gini_2004_6_av</t>
  </si>
  <si>
    <t>gnicap_17ppp_1995</t>
  </si>
  <si>
    <t>gnicap_17ppp_1996</t>
  </si>
  <si>
    <t>gnicap_17ppp_1997</t>
  </si>
  <si>
    <t>gnicap_17ppp_1998</t>
  </si>
  <si>
    <t>gnicap_17ppp_1999</t>
  </si>
  <si>
    <t>gnicap_17ppp_2000</t>
  </si>
  <si>
    <t>gnicap_17ppp_2001</t>
  </si>
  <si>
    <t>gnicap_17ppp_2002</t>
  </si>
  <si>
    <t>gnicap_17ppp_2003</t>
  </si>
  <si>
    <t>gnicap_17ppp_2004</t>
  </si>
  <si>
    <t>gnicap_17ppp_2005</t>
  </si>
  <si>
    <t>gnicap_17ppp_2006</t>
  </si>
  <si>
    <t>gnicap_17ppp_2007</t>
  </si>
  <si>
    <t>gnicap_17ppp_2008</t>
  </si>
  <si>
    <t>gnicap_17ppp_2009</t>
  </si>
  <si>
    <t>gnicap_17ppp_2010</t>
  </si>
  <si>
    <t>pop_1995</t>
  </si>
  <si>
    <t>pop_1996</t>
  </si>
  <si>
    <t>pop_1997</t>
  </si>
  <si>
    <t>pop_1998</t>
  </si>
  <si>
    <t>pop_1999</t>
  </si>
  <si>
    <t>pop_2000</t>
  </si>
  <si>
    <t>pop_2001</t>
  </si>
  <si>
    <t>pop_2002</t>
  </si>
  <si>
    <t>pop_2003</t>
  </si>
  <si>
    <t>pop_2004</t>
  </si>
  <si>
    <t>pop_2005</t>
  </si>
  <si>
    <t>pop_2006</t>
  </si>
  <si>
    <t>pop_2007</t>
  </si>
  <si>
    <t>pop_2008</t>
  </si>
  <si>
    <t>pop_2009</t>
  </si>
  <si>
    <t>pop_2010</t>
  </si>
  <si>
    <t>pop_2004_6</t>
  </si>
  <si>
    <t>gnicap_17ppp_2004_6</t>
  </si>
  <si>
    <t>gni17ppp_2004_6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</si>
</sst>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0" xfId="0" applyFont="1"/>
    <xf numFmtId="0" fontId="14" fillId="0" borderId="0" xfId="0" applyFont="1"/>
    <xf numFmtId="0" fontId="16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4" fillId="33" borderId="0" xfId="0" applyFont="1" applyFill="1"/>
    <xf numFmtId="0" fontId="19" fillId="33" borderId="0" xfId="0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E678-2F59-44C2-8CF9-688794678B64}">
  <dimension ref="A1:M35"/>
  <sheetViews>
    <sheetView zoomScale="79" workbookViewId="0">
      <selection activeCell="M1" sqref="M1:P1048576"/>
    </sheetView>
  </sheetViews>
  <sheetFormatPr defaultRowHeight="15" x14ac:dyDescent="0.25"/>
  <cols>
    <col min="1" max="1" width="14.7109375" style="4" customWidth="1"/>
    <col min="3" max="10" width="23.28515625" customWidth="1"/>
    <col min="14" max="14" width="12" bestFit="1" customWidth="1"/>
    <col min="16" max="16" width="11" bestFit="1" customWidth="1"/>
  </cols>
  <sheetData>
    <row r="1" spans="1:13" s="4" customFormat="1" x14ac:dyDescent="0.25">
      <c r="A1" s="4" t="s">
        <v>583</v>
      </c>
      <c r="B1" s="4" t="s">
        <v>1</v>
      </c>
      <c r="C1" s="4" t="s">
        <v>584</v>
      </c>
      <c r="D1" s="4" t="s">
        <v>588</v>
      </c>
      <c r="E1" s="4" t="s">
        <v>586</v>
      </c>
      <c r="F1" s="4" t="s">
        <v>587</v>
      </c>
      <c r="G1" s="4" t="s">
        <v>592</v>
      </c>
      <c r="H1" s="4" t="s">
        <v>626</v>
      </c>
      <c r="I1" s="13" t="s">
        <v>625</v>
      </c>
      <c r="J1" s="4" t="s">
        <v>627</v>
      </c>
    </row>
    <row r="2" spans="1:13" s="3" customFormat="1" x14ac:dyDescent="0.25">
      <c r="A2" s="7" t="s">
        <v>17</v>
      </c>
      <c r="B2" s="3" t="s">
        <v>18</v>
      </c>
      <c r="C2" s="11">
        <v>198650762094.12564</v>
      </c>
      <c r="D2" s="3">
        <v>0.47766666666666674</v>
      </c>
      <c r="E2" s="3">
        <v>5.0333333333333332</v>
      </c>
      <c r="F2" s="3">
        <v>25.266666666666666</v>
      </c>
      <c r="H2" s="3">
        <v>17816.939791620171</v>
      </c>
      <c r="I2" s="11">
        <v>38891593.666666664</v>
      </c>
      <c r="J2" s="3">
        <f>H2*I2</f>
        <v>692929182759.15625</v>
      </c>
    </row>
    <row r="3" spans="1:13" s="2" customFormat="1" x14ac:dyDescent="0.25">
      <c r="A3" s="5" t="s">
        <v>27</v>
      </c>
      <c r="B3" s="2" t="s">
        <v>28</v>
      </c>
      <c r="C3" s="12">
        <v>317625732459.86566</v>
      </c>
      <c r="D3" s="2">
        <v>0.29366666666666663</v>
      </c>
      <c r="E3" s="2">
        <v>0.13333333333333333</v>
      </c>
      <c r="F3" s="2">
        <v>0.3666666666666667</v>
      </c>
      <c r="G3" s="2">
        <v>0.27333333333333337</v>
      </c>
      <c r="H3" s="2">
        <v>49687.80148786449</v>
      </c>
      <c r="I3" s="12">
        <v>8222812</v>
      </c>
      <c r="J3" s="2">
        <f t="shared" ref="J3:J29" si="0">H3*I3</f>
        <v>408573450328.02997</v>
      </c>
      <c r="M3"/>
    </row>
    <row r="4" spans="1:13" s="2" customFormat="1" x14ac:dyDescent="0.25">
      <c r="A4" s="5" t="s">
        <v>33</v>
      </c>
      <c r="B4" s="2" t="s">
        <v>34</v>
      </c>
      <c r="C4" s="12">
        <v>387342009056.04901</v>
      </c>
      <c r="D4" s="2">
        <v>0.29299999999999998</v>
      </c>
      <c r="E4" s="2">
        <v>0.16666666666666666</v>
      </c>
      <c r="F4" s="2">
        <v>0.3666666666666667</v>
      </c>
      <c r="G4" s="2">
        <v>0.27100000000000002</v>
      </c>
      <c r="H4" s="2">
        <v>47153.1808097338</v>
      </c>
      <c r="I4" s="12">
        <v>10482570.666666666</v>
      </c>
      <c r="J4" s="2">
        <f t="shared" si="0"/>
        <v>494286549996.14508</v>
      </c>
      <c r="M4"/>
    </row>
    <row r="5" spans="1:13" s="3" customFormat="1" x14ac:dyDescent="0.25">
      <c r="A5" s="7" t="s">
        <v>41</v>
      </c>
      <c r="B5" s="3" t="s">
        <v>42</v>
      </c>
      <c r="C5" s="11">
        <v>30135662341.828033</v>
      </c>
      <c r="D5" s="3">
        <v>0.35700000000000004</v>
      </c>
      <c r="E5" s="3">
        <v>5.6</v>
      </c>
      <c r="F5" s="3">
        <v>24</v>
      </c>
      <c r="H5" s="3">
        <v>14361.67653505727</v>
      </c>
      <c r="I5" s="11">
        <v>7658951.333333333</v>
      </c>
      <c r="J5" s="3">
        <f t="shared" si="0"/>
        <v>109995381647.07892</v>
      </c>
    </row>
    <row r="6" spans="1:13" s="2" customFormat="1" x14ac:dyDescent="0.25">
      <c r="A6" s="5" t="s">
        <v>69</v>
      </c>
      <c r="B6" s="2" t="s">
        <v>70</v>
      </c>
      <c r="C6" s="12">
        <v>1169323316346.6467</v>
      </c>
      <c r="D6" s="2">
        <v>0.33700000000000002</v>
      </c>
      <c r="E6" s="2">
        <v>0.2</v>
      </c>
      <c r="F6" s="2">
        <v>0.7</v>
      </c>
      <c r="G6" s="2">
        <v>0.31866666666666665</v>
      </c>
      <c r="H6" s="2">
        <v>41175.06202594666</v>
      </c>
      <c r="I6" s="12">
        <v>32251860.666666668</v>
      </c>
      <c r="J6" s="2">
        <f t="shared" si="0"/>
        <v>1327972363402.1895</v>
      </c>
    </row>
    <row r="7" spans="1:13" s="2" customFormat="1" x14ac:dyDescent="0.25">
      <c r="A7" s="5" t="s">
        <v>115</v>
      </c>
      <c r="B7" s="2" t="s">
        <v>116</v>
      </c>
      <c r="C7" s="12">
        <v>266241762371.50601</v>
      </c>
      <c r="D7" s="2">
        <v>0.2533333333333333</v>
      </c>
      <c r="E7" s="2">
        <v>0.23333333333333331</v>
      </c>
      <c r="F7" s="2">
        <v>0.39999999999999997</v>
      </c>
      <c r="G7" s="2">
        <v>0.23366666666666669</v>
      </c>
      <c r="H7" s="2">
        <v>51867.399411259452</v>
      </c>
      <c r="I7" s="12">
        <v>5420409</v>
      </c>
      <c r="J7" s="2">
        <f t="shared" si="0"/>
        <v>281142518575.38544</v>
      </c>
    </row>
    <row r="8" spans="1:13" s="2" customFormat="1" x14ac:dyDescent="0.25">
      <c r="A8" s="5" t="s">
        <v>141</v>
      </c>
      <c r="B8" s="2" t="s">
        <v>142</v>
      </c>
      <c r="C8" s="12">
        <v>14418348587.410799</v>
      </c>
      <c r="D8" s="2">
        <v>0.33566666666666672</v>
      </c>
      <c r="E8" s="2">
        <v>0.83333333333333337</v>
      </c>
      <c r="F8" s="2">
        <v>5.6000000000000005</v>
      </c>
      <c r="G8" s="2">
        <v>0.33699999999999997</v>
      </c>
      <c r="H8" s="2">
        <v>25166.589609466071</v>
      </c>
      <c r="I8" s="12">
        <v>1354711.6666666667</v>
      </c>
      <c r="J8" s="2">
        <f t="shared" si="0"/>
        <v>34093472554.1558</v>
      </c>
    </row>
    <row r="9" spans="1:13" s="2" customFormat="1" x14ac:dyDescent="0.25">
      <c r="A9" s="5" t="s">
        <v>149</v>
      </c>
      <c r="B9" s="2" t="s">
        <v>150</v>
      </c>
      <c r="C9" s="12">
        <v>206277867897.92001</v>
      </c>
      <c r="D9" s="2">
        <v>0.27833333333333332</v>
      </c>
      <c r="E9" s="2">
        <v>6.6666666666666666E-2</v>
      </c>
      <c r="F9" s="2">
        <v>0.16666666666666666</v>
      </c>
      <c r="G9" s="2">
        <v>0.26366666666666666</v>
      </c>
      <c r="H9" s="2">
        <v>45321.434959769285</v>
      </c>
      <c r="I9" s="12">
        <v>5246845.333333333</v>
      </c>
      <c r="J9" s="2">
        <f t="shared" si="0"/>
        <v>237794559518.63565</v>
      </c>
    </row>
    <row r="10" spans="1:13" s="2" customFormat="1" x14ac:dyDescent="0.25">
      <c r="A10" s="5" t="s">
        <v>153</v>
      </c>
      <c r="B10" s="2" t="s">
        <v>154</v>
      </c>
      <c r="C10" s="12">
        <v>2210154081303.8398</v>
      </c>
      <c r="D10" s="2">
        <v>0.30033333333333334</v>
      </c>
      <c r="E10" s="2">
        <v>0</v>
      </c>
      <c r="F10" s="2">
        <v>0.20000000000000004</v>
      </c>
      <c r="G10" s="2">
        <v>0.28000000000000003</v>
      </c>
      <c r="H10" s="2">
        <v>42601.406293229578</v>
      </c>
      <c r="I10" s="12">
        <v>63168542.333333336</v>
      </c>
      <c r="J10" s="2">
        <f t="shared" si="0"/>
        <v>2691068736893.4058</v>
      </c>
    </row>
    <row r="11" spans="1:13" s="2" customFormat="1" x14ac:dyDescent="0.25">
      <c r="A11" s="5" t="s">
        <v>109</v>
      </c>
      <c r="B11" s="2" t="s">
        <v>110</v>
      </c>
      <c r="C11" s="12">
        <v>2882395818354.3203</v>
      </c>
      <c r="D11" s="2">
        <v>0.31266666666666665</v>
      </c>
      <c r="E11" s="2">
        <v>0</v>
      </c>
      <c r="F11" s="2">
        <v>0.13333333333333333</v>
      </c>
      <c r="G11" s="2">
        <v>0.28399999999999997</v>
      </c>
      <c r="H11" s="2">
        <v>44750.207051753416</v>
      </c>
      <c r="I11" s="12">
        <v>82454044.333333328</v>
      </c>
      <c r="J11" s="2">
        <f t="shared" si="0"/>
        <v>3689835556171.1221</v>
      </c>
    </row>
    <row r="12" spans="1:13" s="2" customFormat="1" x14ac:dyDescent="0.25">
      <c r="A12" s="5" t="s">
        <v>177</v>
      </c>
      <c r="B12" s="2" t="s">
        <v>178</v>
      </c>
      <c r="C12" s="12">
        <v>253874000131.67532</v>
      </c>
      <c r="D12" s="2">
        <v>0.34433333333333338</v>
      </c>
      <c r="E12" s="2">
        <v>0.53333333333333333</v>
      </c>
      <c r="F12" s="2">
        <v>1.7333333333333332</v>
      </c>
      <c r="G12" s="2">
        <v>0.32666666666666666</v>
      </c>
      <c r="H12" s="2">
        <v>35703.029039684596</v>
      </c>
      <c r="I12" s="12">
        <v>10987605.666666666</v>
      </c>
      <c r="J12" s="2">
        <f t="shared" si="0"/>
        <v>392290804193.60303</v>
      </c>
    </row>
    <row r="13" spans="1:13" s="2" customFormat="1" x14ac:dyDescent="0.25">
      <c r="A13" s="5" t="s">
        <v>201</v>
      </c>
      <c r="B13" s="2" t="s">
        <v>202</v>
      </c>
      <c r="C13" s="12">
        <v>110839407388.67999</v>
      </c>
      <c r="D13" s="2">
        <v>0.30966666666666665</v>
      </c>
      <c r="E13" s="2">
        <v>0.3</v>
      </c>
      <c r="F13" s="2">
        <v>3.1</v>
      </c>
      <c r="G13" s="2">
        <v>0.28199999999999997</v>
      </c>
      <c r="H13" s="2">
        <v>22871.020061969251</v>
      </c>
      <c r="I13" s="12">
        <v>10088527</v>
      </c>
      <c r="J13" s="2">
        <f t="shared" si="0"/>
        <v>230734903412.71848</v>
      </c>
    </row>
    <row r="14" spans="1:13" s="3" customFormat="1" x14ac:dyDescent="0.25">
      <c r="A14" s="7" t="s">
        <v>227</v>
      </c>
      <c r="B14" s="3" t="s">
        <v>228</v>
      </c>
      <c r="C14" s="11">
        <v>15954567180.092234</v>
      </c>
      <c r="D14" s="3">
        <v>0.27933333333333332</v>
      </c>
      <c r="E14" s="3">
        <v>0.10000000000000002</v>
      </c>
      <c r="F14" s="3">
        <v>0.30000000000000004</v>
      </c>
      <c r="G14" s="3">
        <v>0.26400000000000001</v>
      </c>
      <c r="I14" s="11">
        <v>297530</v>
      </c>
      <c r="J14" s="2"/>
      <c r="L14" s="2"/>
    </row>
    <row r="15" spans="1:13" s="2" customFormat="1" x14ac:dyDescent="0.25">
      <c r="A15" s="5" t="s">
        <v>221</v>
      </c>
      <c r="B15" s="2" t="s">
        <v>222</v>
      </c>
      <c r="C15" s="12">
        <v>212534398446.42834</v>
      </c>
      <c r="D15" s="2">
        <v>0.33366666666666667</v>
      </c>
      <c r="E15" s="2">
        <v>0.13333333333333333</v>
      </c>
      <c r="F15" s="2">
        <v>0.3666666666666667</v>
      </c>
      <c r="G15" s="2">
        <v>0.32100000000000001</v>
      </c>
      <c r="H15" s="2">
        <v>49556.164376663124</v>
      </c>
      <c r="I15" s="12">
        <v>4167922.3333333335</v>
      </c>
      <c r="J15" s="2">
        <f t="shared" si="0"/>
        <v>206546244259.832</v>
      </c>
    </row>
    <row r="16" spans="1:13" s="2" customFormat="1" x14ac:dyDescent="0.25">
      <c r="A16" s="5" t="s">
        <v>231</v>
      </c>
      <c r="B16" s="2" t="s">
        <v>232</v>
      </c>
      <c r="C16" s="12">
        <v>1869556996602.5232</v>
      </c>
      <c r="D16" s="2">
        <v>0.33933333333333332</v>
      </c>
      <c r="E16" s="2">
        <v>0.6333333333333333</v>
      </c>
      <c r="F16" s="2">
        <v>1.5333333333333332</v>
      </c>
      <c r="G16" s="2">
        <v>0.33</v>
      </c>
      <c r="H16" s="2">
        <v>44631.123261563451</v>
      </c>
      <c r="I16" s="12">
        <v>57932930</v>
      </c>
      <c r="J16" s="2">
        <f t="shared" si="0"/>
        <v>2585611739733.5269</v>
      </c>
    </row>
    <row r="17" spans="1:13" s="3" customFormat="1" x14ac:dyDescent="0.25">
      <c r="A17" s="7" t="s">
        <v>237</v>
      </c>
      <c r="B17" s="3" t="s">
        <v>238</v>
      </c>
      <c r="C17" s="11">
        <v>4700312236748.2168</v>
      </c>
      <c r="G17" s="2">
        <v>0.32800000000000001</v>
      </c>
      <c r="H17" s="3">
        <v>38426.429328092578</v>
      </c>
      <c r="I17" s="11">
        <v>127796000</v>
      </c>
      <c r="J17" s="2">
        <f t="shared" si="0"/>
        <v>4910743962412.9189</v>
      </c>
      <c r="L17" s="2"/>
      <c r="M17" s="2"/>
    </row>
    <row r="18" spans="1:13" s="2" customFormat="1" x14ac:dyDescent="0.25">
      <c r="A18" s="5" t="s">
        <v>285</v>
      </c>
      <c r="B18" s="2" t="s">
        <v>286</v>
      </c>
      <c r="C18" s="12">
        <v>26302920042.309433</v>
      </c>
      <c r="D18" s="2">
        <v>0.35566666666666663</v>
      </c>
      <c r="E18" s="2">
        <v>2</v>
      </c>
      <c r="F18" s="2">
        <v>12.633333333333333</v>
      </c>
      <c r="H18" s="2">
        <v>20785.367077886764</v>
      </c>
      <c r="I18" s="12">
        <v>3323170.6666666665</v>
      </c>
      <c r="J18" s="2">
        <f t="shared" si="0"/>
        <v>69073322169.132339</v>
      </c>
    </row>
    <row r="19" spans="1:13" s="2" customFormat="1" x14ac:dyDescent="0.25">
      <c r="A19" s="5" t="s">
        <v>287</v>
      </c>
      <c r="B19" s="2" t="s">
        <v>288</v>
      </c>
      <c r="C19" s="12">
        <v>38148994855.704834</v>
      </c>
      <c r="D19" s="2">
        <v>0.30633333333333335</v>
      </c>
      <c r="E19" s="2">
        <v>0</v>
      </c>
      <c r="F19" s="2">
        <v>6.6666666666666666E-2</v>
      </c>
      <c r="G19" s="2">
        <v>0.27233333333333337</v>
      </c>
      <c r="H19" s="2">
        <v>96024.679365425036</v>
      </c>
      <c r="I19" s="12">
        <v>465296.66666666669</v>
      </c>
      <c r="J19" s="2">
        <f t="shared" si="0"/>
        <v>44679963226.46772</v>
      </c>
    </row>
    <row r="20" spans="1:13" s="2" customFormat="1" x14ac:dyDescent="0.25">
      <c r="A20" s="5" t="s">
        <v>351</v>
      </c>
      <c r="B20" s="2" t="s">
        <v>352</v>
      </c>
      <c r="C20" s="12">
        <v>691868367514.42871</v>
      </c>
      <c r="D20" s="2">
        <v>0.29599999999999999</v>
      </c>
      <c r="E20" s="2">
        <v>0.10000000000000002</v>
      </c>
      <c r="F20" s="2">
        <v>0.46666666666666673</v>
      </c>
      <c r="G20" s="2">
        <v>0.27</v>
      </c>
      <c r="H20" s="2">
        <v>49871.311553392581</v>
      </c>
      <c r="I20" s="12">
        <v>16315916</v>
      </c>
      <c r="J20" s="2">
        <f t="shared" si="0"/>
        <v>813696130114.98291</v>
      </c>
    </row>
    <row r="21" spans="1:13" s="2" customFormat="1" x14ac:dyDescent="0.25">
      <c r="A21" s="7" t="s">
        <v>359</v>
      </c>
      <c r="B21" s="3" t="s">
        <v>360</v>
      </c>
      <c r="C21" s="11">
        <v>110078061571.83733</v>
      </c>
      <c r="D21" s="3"/>
      <c r="E21" s="3"/>
      <c r="F21" s="3"/>
      <c r="H21" s="2">
        <v>35121.012964659218</v>
      </c>
      <c r="I21" s="12">
        <v>4135333.3333333335</v>
      </c>
      <c r="J21" s="2">
        <f t="shared" si="0"/>
        <v>145237095613.18741</v>
      </c>
    </row>
    <row r="22" spans="1:13" s="3" customFormat="1" x14ac:dyDescent="0.25">
      <c r="A22" s="5" t="s">
        <v>353</v>
      </c>
      <c r="B22" s="2" t="s">
        <v>354</v>
      </c>
      <c r="C22" s="12">
        <v>306325761561.24829</v>
      </c>
      <c r="D22" s="2">
        <v>0.29533333333333334</v>
      </c>
      <c r="E22" s="2">
        <v>0.19999999999999998</v>
      </c>
      <c r="F22" s="2">
        <v>0.46666666666666662</v>
      </c>
      <c r="G22" s="2">
        <v>0.25600000000000001</v>
      </c>
      <c r="H22" s="3">
        <v>62487.202554579162</v>
      </c>
      <c r="I22" s="11">
        <v>4625292.666666667</v>
      </c>
      <c r="J22" s="2">
        <f t="shared" si="0"/>
        <v>289021599736.20959</v>
      </c>
      <c r="L22" s="2"/>
      <c r="M22" s="2"/>
    </row>
    <row r="23" spans="1:13" s="2" customFormat="1" x14ac:dyDescent="0.25">
      <c r="A23" s="5" t="s">
        <v>379</v>
      </c>
      <c r="B23" s="2" t="s">
        <v>380</v>
      </c>
      <c r="C23" s="12">
        <v>301958840300.96631</v>
      </c>
      <c r="D23" s="2">
        <v>0.36166666666666664</v>
      </c>
      <c r="E23" s="2">
        <v>1.2</v>
      </c>
      <c r="F23" s="2">
        <v>9.4</v>
      </c>
      <c r="G23" s="2">
        <v>0.31633333333333336</v>
      </c>
      <c r="H23" s="2">
        <v>18733.744280989195</v>
      </c>
      <c r="I23" s="12">
        <v>38162978</v>
      </c>
      <c r="J23" s="2">
        <f t="shared" si="0"/>
        <v>714935470853.01648</v>
      </c>
    </row>
    <row r="24" spans="1:13" s="3" customFormat="1" x14ac:dyDescent="0.25">
      <c r="A24" s="7" t="s">
        <v>387</v>
      </c>
      <c r="B24" s="3" t="s">
        <v>388</v>
      </c>
      <c r="C24" s="11">
        <v>198265509269.78967</v>
      </c>
      <c r="D24" s="3">
        <v>0.38500000000000001</v>
      </c>
      <c r="E24" s="3">
        <v>0.3666666666666667</v>
      </c>
      <c r="F24" s="3">
        <v>2.4666666666666668</v>
      </c>
      <c r="H24" s="3">
        <v>30712.369560266514</v>
      </c>
      <c r="I24" s="11">
        <v>10503159.666666666</v>
      </c>
      <c r="J24" s="3">
        <f t="shared" si="0"/>
        <v>322576921233.15228</v>
      </c>
    </row>
    <row r="25" spans="1:13" s="2" customFormat="1" x14ac:dyDescent="0.25">
      <c r="A25" s="5" t="s">
        <v>139</v>
      </c>
      <c r="B25" s="2" t="s">
        <v>140</v>
      </c>
      <c r="C25" s="12">
        <v>1159907634091.97</v>
      </c>
      <c r="D25" s="2">
        <v>0.33066666666666661</v>
      </c>
      <c r="E25" s="2">
        <v>0.80000000000000016</v>
      </c>
      <c r="F25" s="2">
        <v>2.2666666666666671</v>
      </c>
      <c r="G25" s="2">
        <v>0.31633333333333336</v>
      </c>
      <c r="H25" s="2">
        <v>37615.13980815938</v>
      </c>
      <c r="I25" s="12">
        <v>43657456.333333336</v>
      </c>
      <c r="J25" s="2">
        <f t="shared" si="0"/>
        <v>1642181323646.9465</v>
      </c>
    </row>
    <row r="26" spans="1:13" s="2" customFormat="1" x14ac:dyDescent="0.25">
      <c r="A26" s="5" t="s">
        <v>445</v>
      </c>
      <c r="B26" s="2" t="s">
        <v>446</v>
      </c>
      <c r="C26" s="12">
        <v>400143190393.33539</v>
      </c>
      <c r="D26" s="2">
        <v>0.26433333333333336</v>
      </c>
      <c r="E26" s="2">
        <v>0.56666666666666665</v>
      </c>
      <c r="F26" s="2">
        <v>1.1333333333333333</v>
      </c>
      <c r="G26" s="2">
        <v>0.23699999999999999</v>
      </c>
      <c r="H26" s="2">
        <v>46542.759394476918</v>
      </c>
      <c r="I26" s="12">
        <v>9034536</v>
      </c>
      <c r="J26" s="2">
        <f t="shared" si="0"/>
        <v>420492235288.73993</v>
      </c>
    </row>
    <row r="27" spans="1:13" s="3" customFormat="1" x14ac:dyDescent="0.25">
      <c r="A27" s="7" t="s">
        <v>73</v>
      </c>
      <c r="B27" s="3" t="s">
        <v>74</v>
      </c>
      <c r="C27" s="11">
        <v>411258078492.47833</v>
      </c>
      <c r="D27" s="3">
        <v>0.33899999999999997</v>
      </c>
      <c r="E27" s="3">
        <v>0</v>
      </c>
      <c r="F27" s="3">
        <v>0.3</v>
      </c>
      <c r="G27" s="3">
        <v>0.28899999999999998</v>
      </c>
      <c r="I27" s="11">
        <v>7436891.333333333</v>
      </c>
      <c r="J27" s="2"/>
      <c r="L27" s="2"/>
    </row>
    <row r="28" spans="1:13" s="2" customFormat="1" x14ac:dyDescent="0.25">
      <c r="A28" s="5" t="s">
        <v>161</v>
      </c>
      <c r="B28" s="2" t="s">
        <v>162</v>
      </c>
      <c r="C28" s="12">
        <v>2556453765640.8071</v>
      </c>
      <c r="D28" s="2">
        <v>0.34966666666666668</v>
      </c>
      <c r="E28" s="2">
        <v>0.3666666666666667</v>
      </c>
      <c r="F28" s="2">
        <v>1.0666666666666667</v>
      </c>
      <c r="G28" s="2">
        <v>0.33100000000000002</v>
      </c>
      <c r="H28" s="2">
        <v>42954.23472792621</v>
      </c>
      <c r="I28" s="12">
        <v>60411977</v>
      </c>
      <c r="J28" s="2">
        <f t="shared" si="0"/>
        <v>2594950240436.0796</v>
      </c>
    </row>
    <row r="29" spans="1:13" s="2" customFormat="1" x14ac:dyDescent="0.25">
      <c r="A29" s="5" t="s">
        <v>502</v>
      </c>
      <c r="B29" s="2" t="s">
        <v>502</v>
      </c>
      <c r="C29" s="12">
        <v>13021660263666.666</v>
      </c>
      <c r="D29" s="2">
        <v>0.40299999999999997</v>
      </c>
      <c r="E29" s="2">
        <v>1</v>
      </c>
      <c r="F29" s="2">
        <v>1.7</v>
      </c>
      <c r="G29" s="2">
        <v>0.38233333333333336</v>
      </c>
      <c r="H29" s="2">
        <v>54751.853999814717</v>
      </c>
      <c r="I29" s="12">
        <v>295567269.66666669</v>
      </c>
      <c r="J29" s="2">
        <f t="shared" si="0"/>
        <v>16182855995913.199</v>
      </c>
    </row>
    <row r="35" spans="1:1" s="3" customFormat="1" x14ac:dyDescent="0.25">
      <c r="A35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1D5C-2E73-4F0E-9F31-56F612D0DC50}">
  <dimension ref="A1:CO35"/>
  <sheetViews>
    <sheetView tabSelected="1" workbookViewId="0">
      <selection activeCell="A2" sqref="A2:A29"/>
    </sheetView>
  </sheetViews>
  <sheetFormatPr defaultRowHeight="15" x14ac:dyDescent="0.25"/>
  <cols>
    <col min="1" max="1" width="14.7109375" customWidth="1"/>
    <col min="3" max="14" width="12.140625" bestFit="1" customWidth="1"/>
    <col min="15" max="15" width="12.140625" customWidth="1"/>
    <col min="90" max="90" width="14.42578125" customWidth="1"/>
  </cols>
  <sheetData>
    <row r="1" spans="1:93" ht="15.75" x14ac:dyDescent="0.25">
      <c r="A1" s="4" t="s">
        <v>583</v>
      </c>
      <c r="B1" s="4" t="s">
        <v>1</v>
      </c>
      <c r="C1" s="4" t="s">
        <v>571</v>
      </c>
      <c r="D1" s="4" t="s">
        <v>572</v>
      </c>
      <c r="E1" s="4" t="s">
        <v>573</v>
      </c>
      <c r="F1" s="4" t="s">
        <v>574</v>
      </c>
      <c r="G1" s="4" t="s">
        <v>575</v>
      </c>
      <c r="H1" s="4" t="s">
        <v>576</v>
      </c>
      <c r="I1" s="4" t="s">
        <v>577</v>
      </c>
      <c r="J1" s="4" t="s">
        <v>578</v>
      </c>
      <c r="K1" s="4" t="s">
        <v>579</v>
      </c>
      <c r="L1" s="4" t="s">
        <v>580</v>
      </c>
      <c r="M1" s="4" t="s">
        <v>581</v>
      </c>
      <c r="N1" s="4" t="s">
        <v>582</v>
      </c>
      <c r="O1" s="4" t="s">
        <v>584</v>
      </c>
      <c r="P1" s="4" t="s">
        <v>535</v>
      </c>
      <c r="Q1" s="4" t="s">
        <v>536</v>
      </c>
      <c r="R1" s="4" t="s">
        <v>537</v>
      </c>
      <c r="S1" s="4" t="s">
        <v>538</v>
      </c>
      <c r="T1" s="4" t="s">
        <v>539</v>
      </c>
      <c r="U1" s="4" t="s">
        <v>540</v>
      </c>
      <c r="V1" s="4" t="s">
        <v>541</v>
      </c>
      <c r="W1" s="4" t="s">
        <v>542</v>
      </c>
      <c r="X1" s="4" t="s">
        <v>543</v>
      </c>
      <c r="Y1" s="4" t="s">
        <v>544</v>
      </c>
      <c r="Z1" s="4" t="s">
        <v>545</v>
      </c>
      <c r="AA1" s="4" t="s">
        <v>546</v>
      </c>
      <c r="AB1" s="4" t="s">
        <v>585</v>
      </c>
      <c r="AC1" s="4" t="s">
        <v>559</v>
      </c>
      <c r="AD1" s="4" t="s">
        <v>560</v>
      </c>
      <c r="AE1" s="4" t="s">
        <v>561</v>
      </c>
      <c r="AF1" s="4" t="s">
        <v>562</v>
      </c>
      <c r="AG1" s="4" t="s">
        <v>563</v>
      </c>
      <c r="AH1" s="4" t="s">
        <v>564</v>
      </c>
      <c r="AI1" s="4" t="s">
        <v>565</v>
      </c>
      <c r="AJ1" s="4" t="s">
        <v>566</v>
      </c>
      <c r="AK1" s="4" t="s">
        <v>567</v>
      </c>
      <c r="AL1" s="4" t="s">
        <v>568</v>
      </c>
      <c r="AM1" s="4" t="s">
        <v>569</v>
      </c>
      <c r="AN1" s="4" t="s">
        <v>570</v>
      </c>
      <c r="AO1" s="4" t="s">
        <v>586</v>
      </c>
      <c r="AP1" s="4" t="s">
        <v>1</v>
      </c>
      <c r="AQ1" s="4" t="s">
        <v>547</v>
      </c>
      <c r="AR1" s="4" t="s">
        <v>548</v>
      </c>
      <c r="AS1" s="4" t="s">
        <v>549</v>
      </c>
      <c r="AT1" s="4" t="s">
        <v>550</v>
      </c>
      <c r="AU1" s="4" t="s">
        <v>551</v>
      </c>
      <c r="AV1" s="4" t="s">
        <v>552</v>
      </c>
      <c r="AW1" s="4" t="s">
        <v>553</v>
      </c>
      <c r="AX1" s="4" t="s">
        <v>554</v>
      </c>
      <c r="AY1" s="4" t="s">
        <v>555</v>
      </c>
      <c r="AZ1" s="4" t="s">
        <v>556</v>
      </c>
      <c r="BA1" s="4" t="s">
        <v>557</v>
      </c>
      <c r="BB1" s="4" t="s">
        <v>558</v>
      </c>
      <c r="BC1" s="4" t="s">
        <v>587</v>
      </c>
      <c r="BD1" s="4" t="s">
        <v>593</v>
      </c>
      <c r="BE1" s="4" t="s">
        <v>594</v>
      </c>
      <c r="BF1" s="4" t="s">
        <v>595</v>
      </c>
      <c r="BG1" s="4" t="s">
        <v>596</v>
      </c>
      <c r="BH1" s="4" t="s">
        <v>597</v>
      </c>
      <c r="BI1" s="4" t="s">
        <v>598</v>
      </c>
      <c r="BJ1" s="4" t="s">
        <v>599</v>
      </c>
      <c r="BK1" s="4" t="s">
        <v>600</v>
      </c>
      <c r="BL1" s="4" t="s">
        <v>601</v>
      </c>
      <c r="BM1" s="4" t="s">
        <v>602</v>
      </c>
      <c r="BN1" s="4" t="s">
        <v>603</v>
      </c>
      <c r="BO1" s="4" t="s">
        <v>604</v>
      </c>
      <c r="BP1" s="4" t="s">
        <v>605</v>
      </c>
      <c r="BQ1" s="4" t="s">
        <v>606</v>
      </c>
      <c r="BR1" s="4" t="s">
        <v>607</v>
      </c>
      <c r="BS1" s="4" t="s">
        <v>608</v>
      </c>
      <c r="BT1" s="4" t="s">
        <v>626</v>
      </c>
      <c r="BU1" s="4" t="s">
        <v>609</v>
      </c>
      <c r="BV1" s="4" t="s">
        <v>610</v>
      </c>
      <c r="BW1" s="4" t="s">
        <v>611</v>
      </c>
      <c r="BX1" s="4" t="s">
        <v>612</v>
      </c>
      <c r="BY1" s="4" t="s">
        <v>613</v>
      </c>
      <c r="BZ1" s="4" t="s">
        <v>614</v>
      </c>
      <c r="CA1" s="4" t="s">
        <v>615</v>
      </c>
      <c r="CB1" s="4" t="s">
        <v>616</v>
      </c>
      <c r="CC1" s="4" t="s">
        <v>617</v>
      </c>
      <c r="CD1" s="4" t="s">
        <v>618</v>
      </c>
      <c r="CE1" s="4" t="s">
        <v>619</v>
      </c>
      <c r="CF1" s="4" t="s">
        <v>620</v>
      </c>
      <c r="CG1" s="4" t="s">
        <v>621</v>
      </c>
      <c r="CH1" s="4" t="s">
        <v>622</v>
      </c>
      <c r="CI1" s="4" t="s">
        <v>623</v>
      </c>
      <c r="CJ1" s="4" t="s">
        <v>624</v>
      </c>
      <c r="CK1" s="4" t="s">
        <v>625</v>
      </c>
      <c r="CL1" s="8" t="s">
        <v>589</v>
      </c>
      <c r="CM1" s="8" t="s">
        <v>590</v>
      </c>
      <c r="CN1" s="8" t="s">
        <v>591</v>
      </c>
      <c r="CO1" s="4" t="s">
        <v>592</v>
      </c>
    </row>
    <row r="2" spans="1:93" s="2" customFormat="1" ht="15.75" x14ac:dyDescent="0.25">
      <c r="A2" s="5" t="s">
        <v>17</v>
      </c>
      <c r="B2" s="2" t="s">
        <v>18</v>
      </c>
      <c r="C2" s="2">
        <v>284203750000</v>
      </c>
      <c r="D2" s="2">
        <v>268696750000</v>
      </c>
      <c r="E2" s="2">
        <v>97724004251.860199</v>
      </c>
      <c r="F2" s="2">
        <v>127586973492.177</v>
      </c>
      <c r="G2" s="2">
        <v>164657930452.78699</v>
      </c>
      <c r="H2" s="2">
        <v>198737095012.28201</v>
      </c>
      <c r="I2" s="2">
        <v>232557260817.30801</v>
      </c>
      <c r="J2" s="2">
        <v>287530508430.56799</v>
      </c>
      <c r="K2" s="2">
        <v>361558037110.41901</v>
      </c>
      <c r="L2" s="2">
        <v>332976484577.61902</v>
      </c>
      <c r="M2" s="2">
        <v>423627422092.48999</v>
      </c>
      <c r="N2" s="2">
        <v>530163281574.65802</v>
      </c>
      <c r="O2" s="2">
        <f t="shared" ref="O2:O29" si="0">AVERAGE(G2:I2)</f>
        <v>198650762094.12564</v>
      </c>
      <c r="P2" s="1">
        <v>51.1</v>
      </c>
      <c r="Q2" s="1">
        <v>53.3</v>
      </c>
      <c r="R2" s="1">
        <v>53.8</v>
      </c>
      <c r="S2" s="1">
        <v>51.2</v>
      </c>
      <c r="T2" s="1">
        <v>48.6</v>
      </c>
      <c r="U2" s="1">
        <v>48</v>
      </c>
      <c r="V2" s="1">
        <v>46.7</v>
      </c>
      <c r="W2" s="1">
        <v>46.6</v>
      </c>
      <c r="X2" s="1">
        <v>45.3</v>
      </c>
      <c r="Y2" s="1">
        <v>44.1</v>
      </c>
      <c r="Z2" s="1">
        <v>44.5</v>
      </c>
      <c r="AA2" s="1">
        <v>42.7</v>
      </c>
      <c r="AB2" s="2">
        <f t="shared" ref="AB2:AB29" si="1">AVERAGE(T2:V2)</f>
        <v>47.766666666666673</v>
      </c>
      <c r="AC2" s="2">
        <v>6.8</v>
      </c>
      <c r="AD2" s="2">
        <v>10.7</v>
      </c>
      <c r="AE2" s="2">
        <v>16.899999999999999</v>
      </c>
      <c r="AF2" s="2">
        <v>8.4</v>
      </c>
      <c r="AG2" s="2">
        <v>6.4</v>
      </c>
      <c r="AH2" s="2">
        <v>4.8</v>
      </c>
      <c r="AI2" s="2">
        <v>3.9</v>
      </c>
      <c r="AJ2" s="2">
        <v>3.3</v>
      </c>
      <c r="AK2" s="2">
        <v>3.3</v>
      </c>
      <c r="AL2" s="2">
        <v>3</v>
      </c>
      <c r="AM2" s="2">
        <v>2.8</v>
      </c>
      <c r="AN2" s="2">
        <v>1.1000000000000001</v>
      </c>
      <c r="AO2" s="2">
        <f t="shared" ref="AO2:AO29" si="2">AVERAGE(AG2:AI2)</f>
        <v>5.0333333333333332</v>
      </c>
      <c r="AP2" s="2" t="s">
        <v>18</v>
      </c>
      <c r="AQ2" s="2">
        <v>31.5</v>
      </c>
      <c r="AR2" s="2">
        <v>36.9</v>
      </c>
      <c r="AS2" s="2">
        <v>49.9</v>
      </c>
      <c r="AT2" s="2">
        <v>34.200000000000003</v>
      </c>
      <c r="AU2" s="2">
        <v>29.4</v>
      </c>
      <c r="AV2" s="2">
        <v>25.5</v>
      </c>
      <c r="AW2" s="2">
        <v>20.9</v>
      </c>
      <c r="AX2" s="2">
        <v>19.8</v>
      </c>
      <c r="AY2" s="2">
        <v>17.7</v>
      </c>
      <c r="AZ2" s="2">
        <v>16.2</v>
      </c>
      <c r="BA2" s="2">
        <v>15.3</v>
      </c>
      <c r="BB2" s="2">
        <v>11.5</v>
      </c>
      <c r="BC2" s="2">
        <f t="shared" ref="BC2:BC29" si="3">AVERAGE(AU2:AW2)</f>
        <v>25.266666666666666</v>
      </c>
      <c r="BD2" s="2">
        <v>17090.30899075402</v>
      </c>
      <c r="BE2" s="2">
        <v>17781.326101959767</v>
      </c>
      <c r="BF2" s="2">
        <v>18982.985890455559</v>
      </c>
      <c r="BG2" s="2">
        <v>19425.418061592973</v>
      </c>
      <c r="BH2" s="2">
        <v>18534.196194478278</v>
      </c>
      <c r="BI2" s="2">
        <v>18178.899875644085</v>
      </c>
      <c r="BJ2" s="2">
        <v>17151.827471421402</v>
      </c>
      <c r="BK2" s="2">
        <v>14726.589183086538</v>
      </c>
      <c r="BL2" s="2">
        <v>16055.837055735345</v>
      </c>
      <c r="BM2" s="2">
        <v>16057.169752589878</v>
      </c>
      <c r="BN2" s="2">
        <v>17269.584761827788</v>
      </c>
      <c r="BO2" s="2">
        <v>20124.064860442839</v>
      </c>
      <c r="BP2" s="2">
        <v>21866.531917419059</v>
      </c>
      <c r="BQ2" s="2">
        <v>22550.519750752967</v>
      </c>
      <c r="BR2" s="2">
        <v>20876.940888382691</v>
      </c>
      <c r="BS2" s="2">
        <v>22726.551903245989</v>
      </c>
      <c r="BT2" s="2">
        <f t="shared" ref="BT2:BT29" si="4">AVERAGE(BM2:BO2)</f>
        <v>17816.939791620171</v>
      </c>
      <c r="BU2" s="2">
        <v>34828170</v>
      </c>
      <c r="BV2" s="2">
        <v>35246374</v>
      </c>
      <c r="BW2" s="2">
        <v>35657429</v>
      </c>
      <c r="BX2" s="2">
        <v>36063459</v>
      </c>
      <c r="BY2" s="2">
        <v>36467218</v>
      </c>
      <c r="BZ2" s="2">
        <v>36870787</v>
      </c>
      <c r="CA2" s="2">
        <v>37275652</v>
      </c>
      <c r="CB2" s="2">
        <v>37681749</v>
      </c>
      <c r="CC2" s="2">
        <v>38087868</v>
      </c>
      <c r="CD2" s="2">
        <v>38491972</v>
      </c>
      <c r="CE2" s="2">
        <v>38892931</v>
      </c>
      <c r="CF2" s="2">
        <v>39289878</v>
      </c>
      <c r="CG2" s="2">
        <v>39684295</v>
      </c>
      <c r="CH2" s="2">
        <v>40080160</v>
      </c>
      <c r="CI2" s="2">
        <v>40482788</v>
      </c>
      <c r="CJ2" s="2">
        <v>40788453</v>
      </c>
      <c r="CK2" s="2">
        <f t="shared" ref="CK2:CK29" si="5">AVERAGE(CD2:CF2)</f>
        <v>38891593.666666664</v>
      </c>
      <c r="CL2" s="8"/>
      <c r="CM2" s="8"/>
      <c r="CN2" s="8"/>
    </row>
    <row r="3" spans="1:93" s="2" customFormat="1" ht="15.75" x14ac:dyDescent="0.25">
      <c r="A3" s="5" t="s">
        <v>27</v>
      </c>
      <c r="B3" s="2" t="s">
        <v>28</v>
      </c>
      <c r="C3" s="2">
        <v>196799778883.36099</v>
      </c>
      <c r="D3" s="2">
        <v>197337879194.63101</v>
      </c>
      <c r="E3" s="2">
        <v>213377771503.858</v>
      </c>
      <c r="F3" s="2">
        <v>261695778781.03799</v>
      </c>
      <c r="G3" s="2">
        <v>300904221504.84198</v>
      </c>
      <c r="H3" s="2">
        <v>315974418604.651</v>
      </c>
      <c r="I3" s="2">
        <v>335998557270.104</v>
      </c>
      <c r="J3" s="2">
        <v>388691445387.35303</v>
      </c>
      <c r="K3" s="2">
        <v>430294287388.31097</v>
      </c>
      <c r="L3" s="2">
        <v>400172297860.51703</v>
      </c>
      <c r="M3" s="2">
        <v>391892746544.69</v>
      </c>
      <c r="N3" s="2">
        <v>431120310088.82001</v>
      </c>
      <c r="O3" s="2">
        <f t="shared" si="0"/>
        <v>317625732459.86566</v>
      </c>
      <c r="P3" s="2">
        <v>28.8</v>
      </c>
      <c r="S3" s="2">
        <v>29.5</v>
      </c>
      <c r="T3" s="2">
        <v>29.8</v>
      </c>
      <c r="U3" s="2">
        <v>28.7</v>
      </c>
      <c r="V3" s="2">
        <v>29.6</v>
      </c>
      <c r="W3" s="2">
        <v>30.6</v>
      </c>
      <c r="X3" s="2">
        <v>30.4</v>
      </c>
      <c r="Y3" s="2">
        <v>31.5</v>
      </c>
      <c r="Z3" s="2">
        <v>30.3</v>
      </c>
      <c r="AA3" s="2">
        <v>30.8</v>
      </c>
      <c r="AB3" s="2">
        <f t="shared" si="1"/>
        <v>29.366666666666664</v>
      </c>
      <c r="AC3" s="2">
        <v>0.2</v>
      </c>
      <c r="AF3" s="2">
        <v>0.3</v>
      </c>
      <c r="AG3" s="2">
        <v>0.1</v>
      </c>
      <c r="AH3" s="2">
        <v>0.2</v>
      </c>
      <c r="AI3" s="2">
        <v>0.1</v>
      </c>
      <c r="AJ3" s="2">
        <v>0.4</v>
      </c>
      <c r="AK3" s="2">
        <v>0.5</v>
      </c>
      <c r="AL3" s="2">
        <v>0.7</v>
      </c>
      <c r="AM3" s="2">
        <v>0.5</v>
      </c>
      <c r="AN3" s="2">
        <v>0.4</v>
      </c>
      <c r="AO3" s="2">
        <f t="shared" si="2"/>
        <v>0.13333333333333333</v>
      </c>
      <c r="AP3" s="2" t="s">
        <v>28</v>
      </c>
      <c r="AQ3" s="2">
        <v>0.2</v>
      </c>
      <c r="AT3" s="2">
        <v>0.6</v>
      </c>
      <c r="AU3" s="2">
        <v>0.3</v>
      </c>
      <c r="AV3" s="2">
        <v>0.4</v>
      </c>
      <c r="AW3" s="2">
        <v>0.4</v>
      </c>
      <c r="AX3" s="2">
        <v>0.7</v>
      </c>
      <c r="AY3" s="2">
        <v>0.9</v>
      </c>
      <c r="AZ3" s="2">
        <v>1</v>
      </c>
      <c r="BA3" s="2">
        <v>0.8</v>
      </c>
      <c r="BB3" s="2">
        <v>1</v>
      </c>
      <c r="BC3" s="2">
        <f t="shared" si="3"/>
        <v>0.3666666666666667</v>
      </c>
      <c r="BD3" s="2">
        <v>40334.402643471927</v>
      </c>
      <c r="BE3" s="2">
        <v>41366.658997169317</v>
      </c>
      <c r="BF3" s="2">
        <v>42008.756276496177</v>
      </c>
      <c r="BG3" s="2">
        <v>43400.590583304038</v>
      </c>
      <c r="BH3" s="2">
        <v>44406.701632534197</v>
      </c>
      <c r="BI3" s="2">
        <v>46136.86171669457</v>
      </c>
      <c r="BJ3" s="2">
        <v>46305.861088784593</v>
      </c>
      <c r="BK3" s="2">
        <v>47219.689292824325</v>
      </c>
      <c r="BL3" s="2">
        <v>47592.973952757791</v>
      </c>
      <c r="BM3" s="2">
        <v>48648.713544071907</v>
      </c>
      <c r="BN3" s="2">
        <v>49365.811717864919</v>
      </c>
      <c r="BO3" s="2">
        <v>51048.879201656637</v>
      </c>
      <c r="BP3" s="2">
        <v>52601.952513430777</v>
      </c>
      <c r="BQ3" s="2">
        <v>53704.553474246495</v>
      </c>
      <c r="BR3" s="2">
        <v>51096.243334523817</v>
      </c>
      <c r="BS3" s="2">
        <v>52368.601949360673</v>
      </c>
      <c r="BT3" s="2">
        <f t="shared" si="4"/>
        <v>49687.80148786449</v>
      </c>
      <c r="BU3" s="2">
        <v>7948278</v>
      </c>
      <c r="BV3" s="2">
        <v>7959017</v>
      </c>
      <c r="BW3" s="2">
        <v>7968041</v>
      </c>
      <c r="BX3" s="2">
        <v>7976789</v>
      </c>
      <c r="BY3" s="2">
        <v>7992324</v>
      </c>
      <c r="BZ3" s="2">
        <v>8011566</v>
      </c>
      <c r="CA3" s="2">
        <v>8042293</v>
      </c>
      <c r="CB3" s="2">
        <v>8081957</v>
      </c>
      <c r="CC3" s="2">
        <v>8121423</v>
      </c>
      <c r="CD3" s="2">
        <v>8171966</v>
      </c>
      <c r="CE3" s="2">
        <v>8227829</v>
      </c>
      <c r="CF3" s="2">
        <v>8268641</v>
      </c>
      <c r="CG3" s="2">
        <v>8295487</v>
      </c>
      <c r="CH3" s="2">
        <v>8321496</v>
      </c>
      <c r="CI3" s="2">
        <v>8343323</v>
      </c>
      <c r="CJ3" s="2">
        <v>8363404</v>
      </c>
      <c r="CK3" s="2">
        <f t="shared" si="5"/>
        <v>8222812</v>
      </c>
      <c r="CL3" s="9">
        <v>0.26800000000000002</v>
      </c>
      <c r="CM3" s="9">
        <v>0.26800000000000002</v>
      </c>
      <c r="CN3" s="9">
        <v>0.28399999999999997</v>
      </c>
      <c r="CO3" s="2">
        <f>AVERAGE(CL3:CN3)</f>
        <v>0.27333333333333337</v>
      </c>
    </row>
    <row r="4" spans="1:93" s="2" customFormat="1" ht="15.75" x14ac:dyDescent="0.25">
      <c r="A4" s="5" t="s">
        <v>33</v>
      </c>
      <c r="B4" s="2" t="s">
        <v>34</v>
      </c>
      <c r="C4" s="2">
        <v>236204532891.10001</v>
      </c>
      <c r="D4" s="2">
        <v>236541297539.14999</v>
      </c>
      <c r="E4" s="2">
        <v>257157820440.42899</v>
      </c>
      <c r="F4" s="2">
        <v>317381715575.62097</v>
      </c>
      <c r="G4" s="2">
        <v>368537000248.32397</v>
      </c>
      <c r="H4" s="2">
        <v>385570948886.95398</v>
      </c>
      <c r="I4" s="2">
        <v>407918078032.86902</v>
      </c>
      <c r="J4" s="2">
        <v>470324254037.77698</v>
      </c>
      <c r="K4" s="2">
        <v>515223524241.97998</v>
      </c>
      <c r="L4" s="2">
        <v>481345929424.84003</v>
      </c>
      <c r="M4" s="2">
        <v>480951629493.03302</v>
      </c>
      <c r="N4" s="2">
        <v>522645519183.591</v>
      </c>
      <c r="O4" s="2">
        <f t="shared" si="0"/>
        <v>387342009056.04901</v>
      </c>
      <c r="P4" s="2">
        <v>33.1</v>
      </c>
      <c r="S4" s="2">
        <v>28.1</v>
      </c>
      <c r="T4" s="2">
        <v>30.5</v>
      </c>
      <c r="U4" s="2">
        <v>29.3</v>
      </c>
      <c r="V4" s="2">
        <v>28.1</v>
      </c>
      <c r="W4" s="2">
        <v>29.2</v>
      </c>
      <c r="X4" s="2">
        <v>28.4</v>
      </c>
      <c r="Y4" s="2">
        <v>28.6</v>
      </c>
      <c r="Z4" s="2">
        <v>28.4</v>
      </c>
      <c r="AA4" s="2">
        <v>28.1</v>
      </c>
      <c r="AB4" s="2">
        <f t="shared" si="1"/>
        <v>29.3</v>
      </c>
      <c r="AC4" s="2">
        <v>0.3</v>
      </c>
      <c r="AF4" s="2">
        <v>0.3</v>
      </c>
      <c r="AG4" s="2">
        <v>0.1</v>
      </c>
      <c r="AH4" s="2">
        <v>0.2</v>
      </c>
      <c r="AI4" s="2">
        <v>0.2</v>
      </c>
      <c r="AJ4" s="2">
        <v>0.2</v>
      </c>
      <c r="AK4" s="2">
        <v>0.1</v>
      </c>
      <c r="AL4" s="2">
        <v>0.1</v>
      </c>
      <c r="AM4" s="2">
        <v>0.1</v>
      </c>
      <c r="AN4" s="2">
        <v>0.2</v>
      </c>
      <c r="AO4" s="2">
        <f t="shared" si="2"/>
        <v>0.16666666666666666</v>
      </c>
      <c r="AP4" s="2" t="s">
        <v>34</v>
      </c>
      <c r="AQ4" s="2">
        <v>0.7</v>
      </c>
      <c r="AT4" s="2">
        <v>0.7</v>
      </c>
      <c r="AU4" s="2">
        <v>0.2</v>
      </c>
      <c r="AV4" s="2">
        <v>0.5</v>
      </c>
      <c r="AW4" s="2">
        <v>0.4</v>
      </c>
      <c r="AX4" s="2">
        <v>0.3</v>
      </c>
      <c r="AY4" s="2">
        <v>0.3</v>
      </c>
      <c r="AZ4" s="2">
        <v>0.3</v>
      </c>
      <c r="BA4" s="2">
        <v>0.4</v>
      </c>
      <c r="BB4" s="2">
        <v>0.5</v>
      </c>
      <c r="BC4" s="2">
        <f t="shared" si="3"/>
        <v>0.3666666666666667</v>
      </c>
      <c r="BD4" s="2">
        <v>38778.434288603014</v>
      </c>
      <c r="BE4" s="2">
        <v>39262.120363086899</v>
      </c>
      <c r="BF4" s="2">
        <v>40694.611144759612</v>
      </c>
      <c r="BG4" s="2">
        <v>41404.818012218937</v>
      </c>
      <c r="BH4" s="2">
        <v>42723.601777347132</v>
      </c>
      <c r="BI4" s="2">
        <v>44301.355665689931</v>
      </c>
      <c r="BJ4" s="2">
        <v>44320.404780336226</v>
      </c>
      <c r="BK4" s="2">
        <v>44814.480221502163</v>
      </c>
      <c r="BL4" s="2">
        <v>45170.455310901663</v>
      </c>
      <c r="BM4" s="2">
        <v>46332.15525597315</v>
      </c>
      <c r="BN4" s="2">
        <v>47078.14136902435</v>
      </c>
      <c r="BO4" s="2">
        <v>48049.245804203892</v>
      </c>
      <c r="BP4" s="2">
        <v>49428.432471138265</v>
      </c>
      <c r="BQ4" s="2">
        <v>49745.321974440318</v>
      </c>
      <c r="BR4" s="2">
        <v>48101.179777513913</v>
      </c>
      <c r="BS4" s="2">
        <v>48861.531348076307</v>
      </c>
      <c r="BT4" s="2">
        <f t="shared" si="4"/>
        <v>47153.1808097338</v>
      </c>
      <c r="BU4" s="2">
        <v>10136811</v>
      </c>
      <c r="BV4" s="2">
        <v>10156637</v>
      </c>
      <c r="BW4" s="2">
        <v>10181245</v>
      </c>
      <c r="BX4" s="2">
        <v>10203008</v>
      </c>
      <c r="BY4" s="2">
        <v>10226419</v>
      </c>
      <c r="BZ4" s="2">
        <v>10251250</v>
      </c>
      <c r="CA4" s="2">
        <v>10286570</v>
      </c>
      <c r="CB4" s="2">
        <v>10332785</v>
      </c>
      <c r="CC4" s="2">
        <v>10376133</v>
      </c>
      <c r="CD4" s="2">
        <v>10421137</v>
      </c>
      <c r="CE4" s="2">
        <v>10478617</v>
      </c>
      <c r="CF4" s="2">
        <v>10547958</v>
      </c>
      <c r="CG4" s="2">
        <v>10625700</v>
      </c>
      <c r="CH4" s="2">
        <v>10709973</v>
      </c>
      <c r="CI4" s="2">
        <v>10796493</v>
      </c>
      <c r="CJ4" s="2">
        <v>10895586</v>
      </c>
      <c r="CK4" s="2">
        <f t="shared" si="5"/>
        <v>10482570.666666666</v>
      </c>
      <c r="CL4" s="9">
        <v>0.27100000000000002</v>
      </c>
      <c r="CM4" s="9">
        <v>0.27</v>
      </c>
      <c r="CN4" s="9">
        <v>0.27200000000000002</v>
      </c>
      <c r="CO4" s="2">
        <f>AVERAGE(CL4:CN4)</f>
        <v>0.27100000000000002</v>
      </c>
    </row>
    <row r="5" spans="1:93" s="2" customFormat="1" ht="15.75" x14ac:dyDescent="0.25">
      <c r="A5" s="5" t="s">
        <v>41</v>
      </c>
      <c r="B5" s="2" t="s">
        <v>42</v>
      </c>
      <c r="C5" s="2">
        <v>13245833843.545401</v>
      </c>
      <c r="D5" s="2">
        <v>14183497963.1071</v>
      </c>
      <c r="E5" s="2">
        <v>16402846413.0958</v>
      </c>
      <c r="F5" s="2">
        <v>21144983551.682301</v>
      </c>
      <c r="G5" s="2">
        <v>26157894736.842098</v>
      </c>
      <c r="H5" s="2">
        <v>29869283400.038101</v>
      </c>
      <c r="I5" s="2">
        <v>34379808888.603897</v>
      </c>
      <c r="J5" s="2">
        <v>44405101469.559097</v>
      </c>
      <c r="K5" s="2">
        <v>54438966419.863899</v>
      </c>
      <c r="L5" s="2">
        <v>52023504656.287804</v>
      </c>
      <c r="M5" s="2">
        <v>50381825504.264198</v>
      </c>
      <c r="N5" s="2">
        <v>57386216850.3377</v>
      </c>
      <c r="O5" s="2">
        <f t="shared" si="0"/>
        <v>30135662341.828033</v>
      </c>
      <c r="V5" s="2">
        <v>35.700000000000003</v>
      </c>
      <c r="W5" s="2">
        <v>36.1</v>
      </c>
      <c r="X5" s="2">
        <v>33.6</v>
      </c>
      <c r="Y5" s="2">
        <v>33.799999999999997</v>
      </c>
      <c r="Z5" s="2">
        <v>35.700000000000003</v>
      </c>
      <c r="AA5" s="2">
        <v>34.299999999999997</v>
      </c>
      <c r="AB5" s="2">
        <f t="shared" si="1"/>
        <v>35.700000000000003</v>
      </c>
      <c r="AI5" s="2">
        <v>5.6</v>
      </c>
      <c r="AJ5" s="2">
        <v>1.8</v>
      </c>
      <c r="AK5" s="2">
        <v>1.2</v>
      </c>
      <c r="AL5" s="2">
        <v>1.3</v>
      </c>
      <c r="AM5" s="2">
        <v>2</v>
      </c>
      <c r="AN5" s="2">
        <v>2.4</v>
      </c>
      <c r="AO5" s="2">
        <f t="shared" si="2"/>
        <v>5.6</v>
      </c>
      <c r="AP5" s="2" t="s">
        <v>42</v>
      </c>
      <c r="AW5" s="2">
        <v>24</v>
      </c>
      <c r="AX5" s="2">
        <v>12.2</v>
      </c>
      <c r="AY5" s="2">
        <v>9.1</v>
      </c>
      <c r="AZ5" s="2">
        <v>9</v>
      </c>
      <c r="BA5" s="2">
        <v>11.4</v>
      </c>
      <c r="BB5" s="2">
        <v>11.9</v>
      </c>
      <c r="BC5" s="2">
        <f t="shared" si="3"/>
        <v>24</v>
      </c>
      <c r="BD5" s="2">
        <v>10758.962763633812</v>
      </c>
      <c r="BE5" s="2">
        <v>11281.452472542005</v>
      </c>
      <c r="BF5" s="2">
        <v>9775.8149670519779</v>
      </c>
      <c r="BG5" s="2">
        <v>10371.663560799298</v>
      </c>
      <c r="BH5" s="2">
        <v>9608.2477965719299</v>
      </c>
      <c r="BI5" s="2">
        <v>10016.321467298696</v>
      </c>
      <c r="BJ5" s="2">
        <v>10861.112419499696</v>
      </c>
      <c r="BK5" s="2">
        <v>11963.16463495553</v>
      </c>
      <c r="BL5" s="2">
        <v>12629.480907137462</v>
      </c>
      <c r="BM5" s="2">
        <v>13491.083423327946</v>
      </c>
      <c r="BN5" s="2">
        <v>14446.842554106468</v>
      </c>
      <c r="BO5" s="2">
        <v>15147.103627737397</v>
      </c>
      <c r="BP5" s="2">
        <v>15483.779247944954</v>
      </c>
      <c r="BQ5" s="2">
        <v>16974.510329819328</v>
      </c>
      <c r="BR5" s="2">
        <v>16752.922540772641</v>
      </c>
      <c r="BS5" s="2">
        <v>17146.807662536514</v>
      </c>
      <c r="BT5" s="2">
        <f t="shared" si="4"/>
        <v>14361.67653505727</v>
      </c>
      <c r="BU5" s="2">
        <v>8406067</v>
      </c>
      <c r="BV5" s="2">
        <v>8362826</v>
      </c>
      <c r="BW5" s="2">
        <v>8312068</v>
      </c>
      <c r="BX5" s="2">
        <v>8256786</v>
      </c>
      <c r="BY5" s="2">
        <v>8210624</v>
      </c>
      <c r="BZ5" s="2">
        <v>8170172</v>
      </c>
      <c r="CA5" s="2">
        <v>8009142</v>
      </c>
      <c r="CB5" s="2">
        <v>7837161</v>
      </c>
      <c r="CC5" s="2">
        <v>7775327</v>
      </c>
      <c r="CD5" s="2">
        <v>7716860</v>
      </c>
      <c r="CE5" s="2">
        <v>7658972</v>
      </c>
      <c r="CF5" s="2">
        <v>7601022</v>
      </c>
      <c r="CG5" s="2">
        <v>7545338</v>
      </c>
      <c r="CH5" s="2">
        <v>7492561</v>
      </c>
      <c r="CI5" s="2">
        <v>7444443</v>
      </c>
      <c r="CJ5" s="2">
        <v>7395599</v>
      </c>
      <c r="CK5" s="2">
        <f t="shared" si="5"/>
        <v>7658951.333333333</v>
      </c>
      <c r="CL5" s="9"/>
      <c r="CM5" s="9"/>
      <c r="CN5" s="9"/>
    </row>
    <row r="6" spans="1:93" s="2" customFormat="1" ht="15.75" x14ac:dyDescent="0.25">
      <c r="A6" s="5" t="s">
        <v>69</v>
      </c>
      <c r="B6" s="2" t="s">
        <v>70</v>
      </c>
      <c r="C6" s="2">
        <v>742295468318.63196</v>
      </c>
      <c r="D6" s="2">
        <v>736379777892.56201</v>
      </c>
      <c r="E6" s="2">
        <v>757950678646.53003</v>
      </c>
      <c r="F6" s="2">
        <v>892382413817.71497</v>
      </c>
      <c r="G6" s="2">
        <v>1023196771714.0699</v>
      </c>
      <c r="H6" s="2">
        <v>1169357979864.6599</v>
      </c>
      <c r="I6" s="2">
        <v>1315415197461.21</v>
      </c>
      <c r="J6" s="2">
        <v>1464977190205.75</v>
      </c>
      <c r="K6" s="2">
        <v>1549131208997.1899</v>
      </c>
      <c r="L6" s="2">
        <v>1371153004986.4399</v>
      </c>
      <c r="M6" s="2">
        <v>1613464422811.1299</v>
      </c>
      <c r="N6" s="2">
        <v>1788647906047.76</v>
      </c>
      <c r="O6" s="2">
        <f t="shared" si="0"/>
        <v>1169323316346.6467</v>
      </c>
      <c r="P6" s="2">
        <v>33.299999999999997</v>
      </c>
      <c r="T6" s="2">
        <v>33.700000000000003</v>
      </c>
      <c r="W6" s="2">
        <v>33.799999999999997</v>
      </c>
      <c r="Z6" s="2">
        <v>33.6</v>
      </c>
      <c r="AB6" s="2">
        <f t="shared" si="1"/>
        <v>33.700000000000003</v>
      </c>
      <c r="AC6" s="2">
        <v>0.2</v>
      </c>
      <c r="AG6" s="2">
        <v>0.2</v>
      </c>
      <c r="AJ6" s="2">
        <v>0.2</v>
      </c>
      <c r="AM6" s="2">
        <v>0.2</v>
      </c>
      <c r="AO6" s="2">
        <f t="shared" si="2"/>
        <v>0.2</v>
      </c>
      <c r="AP6" s="2" t="s">
        <v>70</v>
      </c>
      <c r="AQ6" s="2">
        <v>0.7</v>
      </c>
      <c r="AU6" s="2">
        <v>0.7</v>
      </c>
      <c r="AX6" s="2">
        <v>0.5</v>
      </c>
      <c r="BA6" s="2">
        <v>0.5</v>
      </c>
      <c r="BC6" s="2">
        <f t="shared" si="3"/>
        <v>0.7</v>
      </c>
      <c r="BD6" s="2">
        <v>34441.53525916169</v>
      </c>
      <c r="BE6" s="2">
        <v>34671.198506420791</v>
      </c>
      <c r="BF6" s="2">
        <v>32998.364946459129</v>
      </c>
      <c r="BG6" s="2">
        <v>33550.482135874154</v>
      </c>
      <c r="BH6" s="2">
        <v>34578.170558786704</v>
      </c>
      <c r="BI6" s="2">
        <v>36215.93447595316</v>
      </c>
      <c r="BJ6" s="2">
        <v>36250.920577922283</v>
      </c>
      <c r="BK6" s="2">
        <v>37220.182725319268</v>
      </c>
      <c r="BL6" s="2">
        <v>38323.296000037692</v>
      </c>
      <c r="BM6" s="2">
        <v>39578.914715356776</v>
      </c>
      <c r="BN6" s="2">
        <v>41220.29210210251</v>
      </c>
      <c r="BO6" s="2">
        <v>42725.979260380693</v>
      </c>
      <c r="BP6" s="2">
        <v>45303.708353619972</v>
      </c>
      <c r="BQ6" s="2">
        <v>45258.779852090061</v>
      </c>
      <c r="BR6" s="2">
        <v>43343.494407598628</v>
      </c>
      <c r="BS6" s="2">
        <v>44059.247635885462</v>
      </c>
      <c r="BT6" s="2">
        <f t="shared" si="4"/>
        <v>41175.06202594666</v>
      </c>
      <c r="BU6" s="2">
        <v>29302311</v>
      </c>
      <c r="BV6" s="2">
        <v>29610218</v>
      </c>
      <c r="BW6" s="2">
        <v>29905948</v>
      </c>
      <c r="BX6" s="2">
        <v>30155173</v>
      </c>
      <c r="BY6" s="2">
        <v>30401286</v>
      </c>
      <c r="BZ6" s="2">
        <v>30685730</v>
      </c>
      <c r="CA6" s="2">
        <v>31020902</v>
      </c>
      <c r="CB6" s="2">
        <v>31360079</v>
      </c>
      <c r="CC6" s="2">
        <v>31644028</v>
      </c>
      <c r="CD6" s="2">
        <v>31940655</v>
      </c>
      <c r="CE6" s="2">
        <v>32243753</v>
      </c>
      <c r="CF6" s="2">
        <v>32571174</v>
      </c>
      <c r="CG6" s="2">
        <v>32889025</v>
      </c>
      <c r="CH6" s="2">
        <v>33247118</v>
      </c>
      <c r="CI6" s="2">
        <v>33628895</v>
      </c>
      <c r="CJ6" s="2">
        <v>34004889</v>
      </c>
      <c r="CK6" s="2">
        <f t="shared" si="5"/>
        <v>32251860.666666668</v>
      </c>
      <c r="CL6" s="9">
        <v>0.32</v>
      </c>
      <c r="CM6" s="9">
        <v>0.32</v>
      </c>
      <c r="CN6" s="9">
        <v>0.316</v>
      </c>
      <c r="CO6" s="2">
        <f t="shared" ref="CO6:CO13" si="6">AVERAGE(CL6:CN6)</f>
        <v>0.31866666666666665</v>
      </c>
    </row>
    <row r="7" spans="1:93" s="2" customFormat="1" ht="15.75" x14ac:dyDescent="0.25">
      <c r="A7" s="5" t="s">
        <v>115</v>
      </c>
      <c r="B7" s="2" t="s">
        <v>116</v>
      </c>
      <c r="C7" s="2">
        <v>164158739097.62299</v>
      </c>
      <c r="D7" s="2">
        <v>164791442543.375</v>
      </c>
      <c r="E7" s="2">
        <v>178635163717.431</v>
      </c>
      <c r="F7" s="2">
        <v>218096033517.009</v>
      </c>
      <c r="G7" s="2">
        <v>251373002954.38199</v>
      </c>
      <c r="H7" s="2">
        <v>264467336457.17001</v>
      </c>
      <c r="I7" s="2">
        <v>282884947702.966</v>
      </c>
      <c r="J7" s="2">
        <v>319423424509.06598</v>
      </c>
      <c r="K7" s="2">
        <v>353361038818.383</v>
      </c>
      <c r="L7" s="2">
        <v>321241303699.00598</v>
      </c>
      <c r="M7" s="2">
        <v>321995279401.50201</v>
      </c>
      <c r="N7" s="2">
        <v>344003137611.271</v>
      </c>
      <c r="O7" s="2">
        <f t="shared" si="0"/>
        <v>266241762371.50601</v>
      </c>
      <c r="P7" s="2">
        <v>23.8</v>
      </c>
      <c r="S7" s="2">
        <v>25.6</v>
      </c>
      <c r="T7" s="2">
        <v>24.9</v>
      </c>
      <c r="U7" s="2">
        <v>25.2</v>
      </c>
      <c r="V7" s="2">
        <v>25.9</v>
      </c>
      <c r="W7" s="2">
        <v>26.2</v>
      </c>
      <c r="X7" s="2">
        <v>25.2</v>
      </c>
      <c r="Y7" s="2">
        <v>26.7</v>
      </c>
      <c r="Z7" s="2">
        <v>27.2</v>
      </c>
      <c r="AA7" s="2">
        <v>27.3</v>
      </c>
      <c r="AB7" s="2">
        <f t="shared" si="1"/>
        <v>25.333333333333332</v>
      </c>
      <c r="AC7" s="2">
        <v>0</v>
      </c>
      <c r="AF7" s="2">
        <v>0.3</v>
      </c>
      <c r="AG7" s="2">
        <v>0.3</v>
      </c>
      <c r="AH7" s="2">
        <v>0.3</v>
      </c>
      <c r="AI7" s="2">
        <v>0.1</v>
      </c>
      <c r="AJ7" s="2">
        <v>0</v>
      </c>
      <c r="AK7" s="2">
        <v>0.1</v>
      </c>
      <c r="AL7" s="2">
        <v>0.5</v>
      </c>
      <c r="AM7" s="2">
        <v>0.1</v>
      </c>
      <c r="AN7" s="2">
        <v>0</v>
      </c>
      <c r="AO7" s="2">
        <f t="shared" si="2"/>
        <v>0.23333333333333331</v>
      </c>
      <c r="AP7" s="2" t="s">
        <v>116</v>
      </c>
      <c r="AQ7" s="2">
        <v>0.2</v>
      </c>
      <c r="AT7" s="2">
        <v>0.4</v>
      </c>
      <c r="AU7" s="2">
        <v>0.4</v>
      </c>
      <c r="AV7" s="2">
        <v>0.5</v>
      </c>
      <c r="AW7" s="2">
        <v>0.3</v>
      </c>
      <c r="AX7" s="2">
        <v>0.5</v>
      </c>
      <c r="AY7" s="2">
        <v>0.7</v>
      </c>
      <c r="AZ7" s="2">
        <v>0.9</v>
      </c>
      <c r="BA7" s="2">
        <v>0.2</v>
      </c>
      <c r="BB7" s="2">
        <v>0.6</v>
      </c>
      <c r="BC7" s="2">
        <f t="shared" si="3"/>
        <v>0.39999999999999997</v>
      </c>
      <c r="BD7" s="2">
        <v>30531.475859174898</v>
      </c>
      <c r="BE7" s="2">
        <v>31791.66350969164</v>
      </c>
      <c r="BF7" s="2">
        <v>33983.437724610907</v>
      </c>
      <c r="BG7" s="2">
        <v>35568.209340377587</v>
      </c>
      <c r="BH7" s="2">
        <v>37420.472331077748</v>
      </c>
      <c r="BI7" s="2">
        <v>39664.553010257798</v>
      </c>
      <c r="BJ7" s="2">
        <v>40859.622341580332</v>
      </c>
      <c r="BK7" s="2">
        <v>41604.306725012604</v>
      </c>
      <c r="BL7" s="2">
        <v>41945.189025138832</v>
      </c>
      <c r="BM7" s="2">
        <v>44076.820115489223</v>
      </c>
      <c r="BN7" s="2">
        <v>45013.192151208917</v>
      </c>
      <c r="BO7" s="2">
        <v>46874.29261260973</v>
      </c>
      <c r="BP7" s="2">
        <v>48846.24319743568</v>
      </c>
      <c r="BQ7" s="2">
        <v>48938.73327827701</v>
      </c>
      <c r="BR7" s="2">
        <v>45250.983890954871</v>
      </c>
      <c r="BS7" s="2">
        <v>46499.947789859194</v>
      </c>
      <c r="BT7" s="2">
        <f t="shared" si="4"/>
        <v>45321.434959769285</v>
      </c>
      <c r="BU7" s="2">
        <v>5107790</v>
      </c>
      <c r="BV7" s="2">
        <v>5124573</v>
      </c>
      <c r="BW7" s="2">
        <v>5139835</v>
      </c>
      <c r="BX7" s="2">
        <v>5153498</v>
      </c>
      <c r="BY7" s="2">
        <v>5165474</v>
      </c>
      <c r="BZ7" s="2">
        <v>5176209</v>
      </c>
      <c r="CA7" s="2">
        <v>5188008</v>
      </c>
      <c r="CB7" s="2">
        <v>5200598</v>
      </c>
      <c r="CC7" s="2">
        <v>5213014</v>
      </c>
      <c r="CD7" s="2">
        <v>5228172</v>
      </c>
      <c r="CE7" s="2">
        <v>5246096</v>
      </c>
      <c r="CF7" s="2">
        <v>5266268</v>
      </c>
      <c r="CG7" s="2">
        <v>5288720</v>
      </c>
      <c r="CH7" s="2">
        <v>5313399</v>
      </c>
      <c r="CI7" s="2">
        <v>5338871</v>
      </c>
      <c r="CJ7" s="2">
        <v>5363352</v>
      </c>
      <c r="CK7" s="2">
        <f t="shared" si="5"/>
        <v>5246845.333333333</v>
      </c>
      <c r="CL7" s="9">
        <v>0.26200000000000001</v>
      </c>
      <c r="CM7" s="9">
        <v>0.26200000000000001</v>
      </c>
      <c r="CN7" s="9">
        <v>0.26700000000000002</v>
      </c>
      <c r="CO7" s="2">
        <f t="shared" si="6"/>
        <v>0.26366666666666666</v>
      </c>
    </row>
    <row r="8" spans="1:93" s="2" customFormat="1" ht="15.75" x14ac:dyDescent="0.25">
      <c r="A8" s="5" t="s">
        <v>141</v>
      </c>
      <c r="B8" s="2" t="s">
        <v>142</v>
      </c>
      <c r="C8" s="2">
        <v>5694069842.4398804</v>
      </c>
      <c r="D8" s="2">
        <v>6259257899.9194298</v>
      </c>
      <c r="E8" s="2">
        <v>7372457379.6741104</v>
      </c>
      <c r="F8" s="2">
        <v>9877636630.5329704</v>
      </c>
      <c r="G8" s="2">
        <v>12144397515.528</v>
      </c>
      <c r="H8" s="2">
        <v>14098326078.8459</v>
      </c>
      <c r="I8" s="2">
        <v>17012322167.8585</v>
      </c>
      <c r="J8" s="2">
        <v>22445583082.397999</v>
      </c>
      <c r="K8" s="2">
        <v>24371299252.966202</v>
      </c>
      <c r="L8" s="2">
        <v>19744110864.128899</v>
      </c>
      <c r="M8" s="2">
        <v>19693608289.077301</v>
      </c>
      <c r="N8" s="2">
        <v>23391530006.316601</v>
      </c>
      <c r="O8" s="2">
        <f t="shared" si="0"/>
        <v>14418348587.410799</v>
      </c>
      <c r="S8" s="2">
        <v>37.200000000000003</v>
      </c>
      <c r="T8" s="2">
        <v>33.6</v>
      </c>
      <c r="U8" s="2">
        <v>33.4</v>
      </c>
      <c r="V8" s="2">
        <v>33.700000000000003</v>
      </c>
      <c r="W8" s="2">
        <v>31.2</v>
      </c>
      <c r="X8" s="2">
        <v>31.9</v>
      </c>
      <c r="Y8" s="2">
        <v>31.4</v>
      </c>
      <c r="Z8" s="2">
        <v>32</v>
      </c>
      <c r="AA8" s="2">
        <v>32.5</v>
      </c>
      <c r="AB8" s="2">
        <f t="shared" si="1"/>
        <v>33.56666666666667</v>
      </c>
      <c r="AF8" s="2">
        <v>2.2999999999999998</v>
      </c>
      <c r="AG8" s="2">
        <v>1</v>
      </c>
      <c r="AH8" s="2">
        <v>0.8</v>
      </c>
      <c r="AI8" s="2">
        <v>0.7</v>
      </c>
      <c r="AJ8" s="2">
        <v>0.4</v>
      </c>
      <c r="AK8" s="2">
        <v>0.4</v>
      </c>
      <c r="AL8" s="2">
        <v>0.6</v>
      </c>
      <c r="AM8" s="2">
        <v>0.7</v>
      </c>
      <c r="AN8" s="2">
        <v>1</v>
      </c>
      <c r="AO8" s="2">
        <f t="shared" si="2"/>
        <v>0.83333333333333337</v>
      </c>
      <c r="AP8" s="2" t="s">
        <v>142</v>
      </c>
      <c r="AT8" s="2">
        <v>12.1</v>
      </c>
      <c r="AU8" s="2">
        <v>8.1999999999999993</v>
      </c>
      <c r="AV8" s="2">
        <v>5.5</v>
      </c>
      <c r="AW8" s="2">
        <v>3.1</v>
      </c>
      <c r="AX8" s="2">
        <v>2.2999999999999998</v>
      </c>
      <c r="AY8" s="2">
        <v>2.2000000000000002</v>
      </c>
      <c r="AZ8" s="2">
        <v>2.9</v>
      </c>
      <c r="BA8" s="2">
        <v>3.9</v>
      </c>
      <c r="BB8" s="2">
        <v>3.4</v>
      </c>
      <c r="BC8" s="2">
        <f t="shared" si="3"/>
        <v>5.6000000000000005</v>
      </c>
      <c r="BD8" s="2">
        <v>39201.867912352005</v>
      </c>
      <c r="BE8" s="2">
        <v>39463.561197221228</v>
      </c>
      <c r="BF8" s="2">
        <v>40029.613320989738</v>
      </c>
      <c r="BG8" s="2">
        <v>40672.316759747613</v>
      </c>
      <c r="BH8" s="2">
        <v>41362.573152173914</v>
      </c>
      <c r="BI8" s="2">
        <v>42568.345491769047</v>
      </c>
      <c r="BJ8" s="2">
        <v>43150.840491110874</v>
      </c>
      <c r="BK8" s="2">
        <v>42836.313367385068</v>
      </c>
      <c r="BL8" s="2">
        <v>42530.096457568317</v>
      </c>
      <c r="BM8" s="2">
        <v>43747.199004808557</v>
      </c>
      <c r="BN8" s="2">
        <v>44187.812953890192</v>
      </c>
      <c r="BO8" s="2">
        <v>46315.60919656152</v>
      </c>
      <c r="BP8" s="2">
        <v>47647.397500662679</v>
      </c>
      <c r="BQ8" s="2">
        <v>47955.63183099575</v>
      </c>
      <c r="BR8" s="2">
        <v>45932.419756942938</v>
      </c>
      <c r="BS8" s="2">
        <v>47802.326030264623</v>
      </c>
      <c r="BT8" s="2">
        <f t="shared" si="4"/>
        <v>44750.207051753416</v>
      </c>
      <c r="BU8" s="2">
        <v>81678051</v>
      </c>
      <c r="BV8" s="2">
        <v>81914831</v>
      </c>
      <c r="BW8" s="2">
        <v>82034771</v>
      </c>
      <c r="BX8" s="2">
        <v>82047195</v>
      </c>
      <c r="BY8" s="2">
        <v>82100243</v>
      </c>
      <c r="BZ8" s="2">
        <v>82211508</v>
      </c>
      <c r="CA8" s="2">
        <v>82349925</v>
      </c>
      <c r="CB8" s="2">
        <v>82488495</v>
      </c>
      <c r="CC8" s="2">
        <v>82534176</v>
      </c>
      <c r="CD8" s="2">
        <v>82516260</v>
      </c>
      <c r="CE8" s="2">
        <v>82469422</v>
      </c>
      <c r="CF8" s="2">
        <v>82376451</v>
      </c>
      <c r="CG8" s="2">
        <v>82266372</v>
      </c>
      <c r="CH8" s="2">
        <v>82110097</v>
      </c>
      <c r="CI8" s="2">
        <v>81902307</v>
      </c>
      <c r="CJ8" s="2">
        <v>81776930</v>
      </c>
      <c r="CK8" s="2">
        <f t="shared" si="5"/>
        <v>82454044.333333328</v>
      </c>
      <c r="CL8" s="9">
        <v>0.27300000000000002</v>
      </c>
      <c r="CM8" s="9">
        <v>0.29199999999999998</v>
      </c>
      <c r="CN8" s="9">
        <v>0.28699999999999998</v>
      </c>
      <c r="CO8" s="2">
        <f t="shared" si="6"/>
        <v>0.28399999999999997</v>
      </c>
    </row>
    <row r="9" spans="1:93" s="2" customFormat="1" ht="15.75" x14ac:dyDescent="0.25">
      <c r="A9" s="5" t="s">
        <v>149</v>
      </c>
      <c r="B9" s="2" t="s">
        <v>150</v>
      </c>
      <c r="C9" s="2">
        <v>125706651925.55701</v>
      </c>
      <c r="D9" s="2">
        <v>129421029082.774</v>
      </c>
      <c r="E9" s="2">
        <v>139738377564.465</v>
      </c>
      <c r="F9" s="2">
        <v>171274266365.68799</v>
      </c>
      <c r="G9" s="2">
        <v>197116960516.51401</v>
      </c>
      <c r="H9" s="2">
        <v>204809103345.35501</v>
      </c>
      <c r="I9" s="2">
        <v>216907539831.89099</v>
      </c>
      <c r="J9" s="2">
        <v>256052559540.104</v>
      </c>
      <c r="K9" s="2">
        <v>284553976856.599</v>
      </c>
      <c r="L9" s="2">
        <v>252496526813.004</v>
      </c>
      <c r="M9" s="2">
        <v>249181190476.36899</v>
      </c>
      <c r="N9" s="2">
        <v>275243697751.01099</v>
      </c>
      <c r="O9" s="2">
        <f t="shared" si="0"/>
        <v>206277867897.92001</v>
      </c>
      <c r="P9" s="2">
        <v>27.2</v>
      </c>
      <c r="S9" s="2">
        <v>27.7</v>
      </c>
      <c r="T9" s="2">
        <v>27.9</v>
      </c>
      <c r="U9" s="2">
        <v>27.6</v>
      </c>
      <c r="V9" s="2">
        <v>28</v>
      </c>
      <c r="W9" s="2">
        <v>28.3</v>
      </c>
      <c r="X9" s="2">
        <v>27.8</v>
      </c>
      <c r="Y9" s="2">
        <v>27.5</v>
      </c>
      <c r="Z9" s="2">
        <v>27.7</v>
      </c>
      <c r="AA9" s="2">
        <v>27.6</v>
      </c>
      <c r="AB9" s="2">
        <f t="shared" si="1"/>
        <v>27.833333333333332</v>
      </c>
      <c r="AC9" s="2">
        <v>0</v>
      </c>
      <c r="AF9" s="2">
        <v>0</v>
      </c>
      <c r="AG9" s="2">
        <v>0</v>
      </c>
      <c r="AH9" s="2">
        <v>0.1</v>
      </c>
      <c r="AI9" s="2">
        <v>0.1</v>
      </c>
      <c r="AJ9" s="2">
        <v>0.1</v>
      </c>
      <c r="AK9" s="2">
        <v>0.1</v>
      </c>
      <c r="AL9" s="2">
        <v>0.1</v>
      </c>
      <c r="AM9" s="2">
        <v>0</v>
      </c>
      <c r="AN9" s="2">
        <v>0</v>
      </c>
      <c r="AO9" s="2">
        <f t="shared" si="2"/>
        <v>6.6666666666666666E-2</v>
      </c>
      <c r="AP9" s="2" t="s">
        <v>150</v>
      </c>
      <c r="AQ9" s="2">
        <v>0.2</v>
      </c>
      <c r="AT9" s="2">
        <v>0.2</v>
      </c>
      <c r="AU9" s="2">
        <v>0.1</v>
      </c>
      <c r="AV9" s="2">
        <v>0.2</v>
      </c>
      <c r="AW9" s="2">
        <v>0.2</v>
      </c>
      <c r="AX9" s="2">
        <v>0.1</v>
      </c>
      <c r="AY9" s="2">
        <v>0.2</v>
      </c>
      <c r="AZ9" s="2">
        <v>0.1</v>
      </c>
      <c r="BA9" s="2">
        <v>0.1</v>
      </c>
      <c r="BB9" s="2">
        <v>0.1</v>
      </c>
      <c r="BC9" s="2">
        <f t="shared" si="3"/>
        <v>0.16666666666666666</v>
      </c>
      <c r="BO9" s="2">
        <v>35703.029039684596</v>
      </c>
      <c r="BP9" s="2">
        <v>36511.25888754562</v>
      </c>
      <c r="BQ9" s="2">
        <v>36147.702649061684</v>
      </c>
      <c r="BR9" s="2">
        <v>34763.247768021494</v>
      </c>
      <c r="BS9" s="2">
        <v>32826.726011149309</v>
      </c>
      <c r="BT9" s="2">
        <f t="shared" si="4"/>
        <v>35703.029039684596</v>
      </c>
      <c r="BU9" s="2">
        <v>10562153</v>
      </c>
      <c r="BV9" s="2">
        <v>10608800</v>
      </c>
      <c r="BW9" s="2">
        <v>10661259</v>
      </c>
      <c r="BX9" s="2">
        <v>10720509</v>
      </c>
      <c r="BY9" s="2">
        <v>10761698</v>
      </c>
      <c r="BZ9" s="2">
        <v>10805808</v>
      </c>
      <c r="CA9" s="2">
        <v>10862132</v>
      </c>
      <c r="CB9" s="2">
        <v>10902022</v>
      </c>
      <c r="CC9" s="2">
        <v>10928070</v>
      </c>
      <c r="CD9" s="2">
        <v>10955141</v>
      </c>
      <c r="CE9" s="2">
        <v>10987314</v>
      </c>
      <c r="CF9" s="2">
        <v>11020362</v>
      </c>
      <c r="CG9" s="2">
        <v>11048473</v>
      </c>
      <c r="CH9" s="2">
        <v>11077841</v>
      </c>
      <c r="CI9" s="2">
        <v>11107017</v>
      </c>
      <c r="CJ9" s="2">
        <v>11121341</v>
      </c>
      <c r="CK9" s="2">
        <f t="shared" si="5"/>
        <v>10987605.666666666</v>
      </c>
      <c r="CL9" s="9">
        <v>0.32900000000000001</v>
      </c>
      <c r="CM9" s="9">
        <v>0.32900000000000001</v>
      </c>
      <c r="CN9" s="9">
        <v>0.32200000000000001</v>
      </c>
      <c r="CO9" s="2">
        <f t="shared" si="6"/>
        <v>0.32666666666666666</v>
      </c>
    </row>
    <row r="10" spans="1:93" s="2" customFormat="1" ht="15.75" x14ac:dyDescent="0.25">
      <c r="A10" s="5" t="s">
        <v>153</v>
      </c>
      <c r="B10" s="2" t="s">
        <v>154</v>
      </c>
      <c r="C10" s="2">
        <v>1362248940482.77</v>
      </c>
      <c r="D10" s="2">
        <v>1376465324384.79</v>
      </c>
      <c r="E10" s="2">
        <v>1494286655373.6101</v>
      </c>
      <c r="F10" s="2">
        <v>1840480812641.0801</v>
      </c>
      <c r="G10" s="2">
        <v>2115742488204.6201</v>
      </c>
      <c r="H10" s="2">
        <v>2196126103718.4399</v>
      </c>
      <c r="I10" s="2">
        <v>2318593651988.46</v>
      </c>
      <c r="J10" s="2">
        <v>2657213249384.0698</v>
      </c>
      <c r="K10" s="2">
        <v>2918382891460.3799</v>
      </c>
      <c r="L10" s="2">
        <v>2690222283967.77</v>
      </c>
      <c r="M10" s="2">
        <v>2642609548930.3599</v>
      </c>
      <c r="N10" s="2">
        <v>2861408170264.6001</v>
      </c>
      <c r="O10" s="2">
        <f t="shared" si="0"/>
        <v>2210154081303.8398</v>
      </c>
      <c r="P10" s="2">
        <v>31.1</v>
      </c>
      <c r="S10" s="2">
        <v>31.4</v>
      </c>
      <c r="T10" s="2">
        <v>30.6</v>
      </c>
      <c r="U10" s="2">
        <v>29.8</v>
      </c>
      <c r="V10" s="2">
        <v>29.7</v>
      </c>
      <c r="W10" s="2">
        <v>32.4</v>
      </c>
      <c r="X10" s="2">
        <v>33</v>
      </c>
      <c r="Y10" s="2">
        <v>32.700000000000003</v>
      </c>
      <c r="Z10" s="2">
        <v>33.700000000000003</v>
      </c>
      <c r="AA10" s="2">
        <v>33.299999999999997</v>
      </c>
      <c r="AB10" s="2">
        <f t="shared" si="1"/>
        <v>30.033333333333335</v>
      </c>
      <c r="AC10" s="2">
        <v>0</v>
      </c>
      <c r="AF10" s="2">
        <v>0.2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0.1</v>
      </c>
      <c r="AN10" s="2">
        <v>0</v>
      </c>
      <c r="AO10" s="2">
        <f t="shared" si="2"/>
        <v>0</v>
      </c>
      <c r="AP10" s="2" t="s">
        <v>154</v>
      </c>
      <c r="AQ10" s="2">
        <v>0.2</v>
      </c>
      <c r="AT10" s="2">
        <v>0.4</v>
      </c>
      <c r="AU10" s="2">
        <v>0.2</v>
      </c>
      <c r="AV10" s="2">
        <v>0.2</v>
      </c>
      <c r="AW10" s="2">
        <v>0.2</v>
      </c>
      <c r="AX10" s="2">
        <v>0.1</v>
      </c>
      <c r="AY10" s="2">
        <v>0.1</v>
      </c>
      <c r="AZ10" s="2">
        <v>0.3</v>
      </c>
      <c r="BA10" s="2">
        <v>0.3</v>
      </c>
      <c r="BB10" s="2">
        <v>0.2</v>
      </c>
      <c r="BC10" s="2">
        <f t="shared" si="3"/>
        <v>0.20000000000000004</v>
      </c>
      <c r="BD10" s="2">
        <v>16114.29924286731</v>
      </c>
      <c r="BE10" s="2">
        <v>16068.836607480551</v>
      </c>
      <c r="BF10" s="2">
        <v>16332.466694660372</v>
      </c>
      <c r="BG10" s="2">
        <v>16969.908783154569</v>
      </c>
      <c r="BM10" s="2">
        <v>21903.636813730762</v>
      </c>
      <c r="BN10" s="2">
        <v>22855.796851409494</v>
      </c>
      <c r="BO10" s="2">
        <v>23853.62652076751</v>
      </c>
      <c r="BP10" s="2">
        <v>23580.381659866835</v>
      </c>
      <c r="BQ10" s="2">
        <v>24148.044346553634</v>
      </c>
      <c r="BR10" s="2">
        <v>23113.897853336446</v>
      </c>
      <c r="BS10" s="2">
        <v>23389.00992343597</v>
      </c>
      <c r="BT10" s="2">
        <f t="shared" si="4"/>
        <v>22871.020061969251</v>
      </c>
      <c r="BU10" s="2">
        <v>10328965</v>
      </c>
      <c r="BV10" s="2">
        <v>10311238</v>
      </c>
      <c r="BW10" s="2">
        <v>10290486</v>
      </c>
      <c r="BX10" s="2">
        <v>10266570</v>
      </c>
      <c r="BY10" s="2">
        <v>10237530</v>
      </c>
      <c r="BZ10" s="2">
        <v>10210971</v>
      </c>
      <c r="CA10" s="2">
        <v>10187576</v>
      </c>
      <c r="CB10" s="2">
        <v>10158608</v>
      </c>
      <c r="CC10" s="2">
        <v>10129552</v>
      </c>
      <c r="CD10" s="2">
        <v>10107146</v>
      </c>
      <c r="CE10" s="2">
        <v>10087065</v>
      </c>
      <c r="CF10" s="2">
        <v>10071370</v>
      </c>
      <c r="CG10" s="2">
        <v>10055780</v>
      </c>
      <c r="CH10" s="2">
        <v>10038188</v>
      </c>
      <c r="CI10" s="2">
        <v>10022650</v>
      </c>
      <c r="CJ10" s="2">
        <v>10000023</v>
      </c>
      <c r="CK10" s="2">
        <f t="shared" si="5"/>
        <v>10088527</v>
      </c>
      <c r="CL10" s="9">
        <v>0.28799999999999998</v>
      </c>
      <c r="CM10" s="9">
        <v>0.28799999999999998</v>
      </c>
      <c r="CN10" s="9">
        <v>0.27</v>
      </c>
      <c r="CO10" s="2">
        <f t="shared" si="6"/>
        <v>0.28199999999999997</v>
      </c>
    </row>
    <row r="11" spans="1:93" s="2" customFormat="1" ht="15.75" x14ac:dyDescent="0.25">
      <c r="A11" s="5" t="s">
        <v>109</v>
      </c>
      <c r="B11" s="2" t="s">
        <v>110</v>
      </c>
      <c r="C11" s="2">
        <v>1943145384190.1599</v>
      </c>
      <c r="D11" s="2">
        <v>1944107382550.3401</v>
      </c>
      <c r="E11" s="2">
        <v>2068624129493.6899</v>
      </c>
      <c r="F11" s="2">
        <v>2496128668171.5601</v>
      </c>
      <c r="G11" s="2">
        <v>2809187981127.3901</v>
      </c>
      <c r="H11" s="2">
        <v>2845802760850.6401</v>
      </c>
      <c r="I11" s="2">
        <v>2992196713084.9302</v>
      </c>
      <c r="J11" s="2">
        <v>3421229126745.1401</v>
      </c>
      <c r="K11" s="2">
        <v>3730027830672.3301</v>
      </c>
      <c r="L11" s="2">
        <v>3397791053070.2998</v>
      </c>
      <c r="M11" s="2">
        <v>3396354075663.73</v>
      </c>
      <c r="N11" s="2">
        <v>3744408602683.9399</v>
      </c>
      <c r="O11" s="2">
        <f t="shared" si="0"/>
        <v>2882395818354.3203</v>
      </c>
      <c r="P11" s="2">
        <v>28.8</v>
      </c>
      <c r="Q11" s="2">
        <v>30.3</v>
      </c>
      <c r="R11" s="2">
        <v>29.9</v>
      </c>
      <c r="S11" s="2">
        <v>30</v>
      </c>
      <c r="T11" s="2">
        <v>30.4</v>
      </c>
      <c r="U11" s="2">
        <v>32.1</v>
      </c>
      <c r="V11" s="2">
        <v>31.3</v>
      </c>
      <c r="W11" s="2">
        <v>31.3</v>
      </c>
      <c r="X11" s="2">
        <v>31.1</v>
      </c>
      <c r="Y11" s="2">
        <v>30.5</v>
      </c>
      <c r="Z11" s="2">
        <v>30.2</v>
      </c>
      <c r="AA11" s="2">
        <v>30.5</v>
      </c>
      <c r="AB11" s="2">
        <f t="shared" si="1"/>
        <v>31.266666666666666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0.2</v>
      </c>
      <c r="AL11" s="2">
        <v>0</v>
      </c>
      <c r="AM11" s="2">
        <v>0</v>
      </c>
      <c r="AN11" s="2">
        <v>0</v>
      </c>
      <c r="AO11" s="2">
        <f t="shared" si="2"/>
        <v>0</v>
      </c>
      <c r="AP11" s="2" t="s">
        <v>110</v>
      </c>
      <c r="AQ11" s="2">
        <v>0.2</v>
      </c>
      <c r="AR11" s="2">
        <v>0.2</v>
      </c>
      <c r="AS11" s="2">
        <v>0.2</v>
      </c>
      <c r="AT11" s="2">
        <v>0.2</v>
      </c>
      <c r="AU11" s="2">
        <v>0.2</v>
      </c>
      <c r="AV11" s="2">
        <v>0.2</v>
      </c>
      <c r="AW11" s="2">
        <v>0</v>
      </c>
      <c r="AX11" s="2">
        <v>0.2</v>
      </c>
      <c r="AY11" s="2">
        <v>0.2</v>
      </c>
      <c r="AZ11" s="2">
        <v>0.2</v>
      </c>
      <c r="BA11" s="2">
        <v>0.2</v>
      </c>
      <c r="BB11" s="2">
        <v>0.2</v>
      </c>
      <c r="BC11" s="2">
        <f t="shared" si="3"/>
        <v>0.13333333333333333</v>
      </c>
      <c r="BI11" s="2">
        <v>17260.347808864954</v>
      </c>
      <c r="BJ11" s="2">
        <v>18268.929989258024</v>
      </c>
      <c r="BK11" s="2">
        <v>19641.077528219776</v>
      </c>
      <c r="BL11" s="2">
        <v>21091.727633135015</v>
      </c>
      <c r="BM11" s="2">
        <v>22728.273603966427</v>
      </c>
      <c r="BN11" s="2">
        <v>25253.394958816301</v>
      </c>
      <c r="BO11" s="2">
        <v>27518.100265615485</v>
      </c>
      <c r="BP11" s="2">
        <v>29216.432329877902</v>
      </c>
      <c r="BQ11" s="2">
        <v>28220.801741158095</v>
      </c>
      <c r="BR11" s="2">
        <v>24713.877815596101</v>
      </c>
      <c r="BS11" s="2">
        <v>24856.655495796673</v>
      </c>
      <c r="BT11" s="2">
        <f t="shared" si="4"/>
        <v>25166.589609466071</v>
      </c>
      <c r="BU11" s="2">
        <v>1436634</v>
      </c>
      <c r="BV11" s="2">
        <v>1415594</v>
      </c>
      <c r="BW11" s="2">
        <v>1399535</v>
      </c>
      <c r="BX11" s="2">
        <v>1386156</v>
      </c>
      <c r="BY11" s="2">
        <v>1390244</v>
      </c>
      <c r="BZ11" s="2">
        <v>1396985</v>
      </c>
      <c r="CA11" s="2">
        <v>1388115</v>
      </c>
      <c r="CB11" s="2">
        <v>1379350</v>
      </c>
      <c r="CC11" s="2">
        <v>1370720</v>
      </c>
      <c r="CD11" s="2">
        <v>1362550</v>
      </c>
      <c r="CE11" s="2">
        <v>1354775</v>
      </c>
      <c r="CF11" s="2">
        <v>1346810</v>
      </c>
      <c r="CG11" s="2">
        <v>1340680</v>
      </c>
      <c r="CH11" s="2">
        <v>1337090</v>
      </c>
      <c r="CI11" s="2">
        <v>1334515</v>
      </c>
      <c r="CJ11" s="2">
        <v>1331475</v>
      </c>
      <c r="CK11" s="2">
        <f t="shared" si="5"/>
        <v>1354711.6666666667</v>
      </c>
      <c r="CL11" s="9">
        <v>0.34899999999999998</v>
      </c>
      <c r="CM11" s="9">
        <v>0.34899999999999998</v>
      </c>
      <c r="CN11" s="9">
        <v>0.313</v>
      </c>
      <c r="CO11" s="2">
        <f t="shared" si="6"/>
        <v>0.33699999999999997</v>
      </c>
    </row>
    <row r="12" spans="1:93" s="2" customFormat="1" ht="15.75" x14ac:dyDescent="0.25">
      <c r="A12" s="5" t="s">
        <v>177</v>
      </c>
      <c r="B12" s="2" t="s">
        <v>178</v>
      </c>
      <c r="C12" s="2">
        <v>130133845586.88</v>
      </c>
      <c r="D12" s="2">
        <v>136191353914.989</v>
      </c>
      <c r="E12" s="2">
        <v>153830946734.42499</v>
      </c>
      <c r="F12" s="2">
        <v>201924269751.69299</v>
      </c>
      <c r="G12" s="2">
        <v>240521261484.97601</v>
      </c>
      <c r="H12" s="2">
        <v>247783002114.16501</v>
      </c>
      <c r="I12" s="2">
        <v>273317736795.88501</v>
      </c>
      <c r="J12" s="2">
        <v>318497937311.79901</v>
      </c>
      <c r="K12" s="2">
        <v>354460802695.18103</v>
      </c>
      <c r="L12" s="2">
        <v>330000251458.73901</v>
      </c>
      <c r="M12" s="2">
        <v>299361576293.33197</v>
      </c>
      <c r="N12" s="2">
        <v>287797821676.138</v>
      </c>
      <c r="O12" s="2">
        <f t="shared" si="0"/>
        <v>253874000131.67532</v>
      </c>
      <c r="P12" s="2">
        <v>34.200000000000003</v>
      </c>
      <c r="S12" s="2">
        <v>32.799999999999997</v>
      </c>
      <c r="T12" s="2">
        <v>33.6</v>
      </c>
      <c r="U12" s="2">
        <v>34.6</v>
      </c>
      <c r="V12" s="2">
        <v>35.1</v>
      </c>
      <c r="W12" s="2">
        <v>34</v>
      </c>
      <c r="X12" s="2">
        <v>33.6</v>
      </c>
      <c r="Y12" s="2">
        <v>33.6</v>
      </c>
      <c r="Z12" s="2">
        <v>34.1</v>
      </c>
      <c r="AA12" s="2">
        <v>34.799999999999997</v>
      </c>
      <c r="AB12" s="2">
        <f t="shared" si="1"/>
        <v>34.433333333333337</v>
      </c>
      <c r="AC12" s="2">
        <v>0.5</v>
      </c>
      <c r="AF12" s="2">
        <v>0.5</v>
      </c>
      <c r="AG12" s="2">
        <v>0.7</v>
      </c>
      <c r="AH12" s="2">
        <v>0.3</v>
      </c>
      <c r="AI12" s="2">
        <v>0.6</v>
      </c>
      <c r="AJ12" s="2">
        <v>0.5</v>
      </c>
      <c r="AK12" s="2">
        <v>0.3</v>
      </c>
      <c r="AL12" s="2">
        <v>0.6</v>
      </c>
      <c r="AM12" s="2">
        <v>1</v>
      </c>
      <c r="AN12" s="2">
        <v>1.2</v>
      </c>
      <c r="AO12" s="2">
        <f t="shared" si="2"/>
        <v>0.53333333333333333</v>
      </c>
      <c r="AP12" s="2" t="s">
        <v>178</v>
      </c>
      <c r="AQ12" s="2">
        <v>2.5</v>
      </c>
      <c r="AT12" s="2">
        <v>1.6</v>
      </c>
      <c r="AU12" s="2">
        <v>1.7</v>
      </c>
      <c r="AV12" s="2">
        <v>1.6</v>
      </c>
      <c r="AW12" s="2">
        <v>1.9</v>
      </c>
      <c r="AX12" s="2">
        <v>1.7</v>
      </c>
      <c r="AY12" s="2">
        <v>1.2</v>
      </c>
      <c r="AZ12" s="2">
        <v>1.5</v>
      </c>
      <c r="BA12" s="2">
        <v>2.4</v>
      </c>
      <c r="BB12" s="2">
        <v>4.8</v>
      </c>
      <c r="BC12" s="2">
        <f t="shared" si="3"/>
        <v>1.7333333333333332</v>
      </c>
      <c r="BD12" s="2">
        <v>29439.859233474159</v>
      </c>
      <c r="BE12" s="2">
        <v>31546.786810956015</v>
      </c>
      <c r="BF12" s="2">
        <v>34145.290466721512</v>
      </c>
      <c r="BG12" s="2">
        <v>36476.707088706491</v>
      </c>
      <c r="BH12" s="2">
        <v>38872.679684579343</v>
      </c>
      <c r="BI12" s="2">
        <v>41922.205127496411</v>
      </c>
      <c r="BJ12" s="2">
        <v>42534.556038447481</v>
      </c>
      <c r="BK12" s="2">
        <v>43529.759381167627</v>
      </c>
      <c r="BL12" s="2">
        <v>45348.476223636433</v>
      </c>
      <c r="BM12" s="2">
        <v>47800.576426497057</v>
      </c>
      <c r="BN12" s="2">
        <v>49561.943698945368</v>
      </c>
      <c r="BO12" s="2">
        <v>51305.973004546933</v>
      </c>
      <c r="BP12" s="2">
        <v>51848.009855581622</v>
      </c>
      <c r="BQ12" s="2">
        <v>48564.358063472129</v>
      </c>
      <c r="BR12" s="2">
        <v>44122.56546987444</v>
      </c>
      <c r="BS12" s="2">
        <v>44807.510663192632</v>
      </c>
      <c r="BT12" s="2">
        <f t="shared" si="4"/>
        <v>49556.164376663124</v>
      </c>
      <c r="BU12" s="2">
        <v>3608841</v>
      </c>
      <c r="BV12" s="2">
        <v>3637510</v>
      </c>
      <c r="BW12" s="2">
        <v>3674171</v>
      </c>
      <c r="BX12" s="2">
        <v>3712696</v>
      </c>
      <c r="BY12" s="2">
        <v>3754786</v>
      </c>
      <c r="BZ12" s="2">
        <v>3805174</v>
      </c>
      <c r="CA12" s="2">
        <v>3866243</v>
      </c>
      <c r="CB12" s="2">
        <v>3931947</v>
      </c>
      <c r="CC12" s="2">
        <v>3996521</v>
      </c>
      <c r="CD12" s="2">
        <v>4070262</v>
      </c>
      <c r="CE12" s="2">
        <v>4159914</v>
      </c>
      <c r="CF12" s="2">
        <v>4273591</v>
      </c>
      <c r="CG12" s="2">
        <v>4398942</v>
      </c>
      <c r="CH12" s="2">
        <v>4489544</v>
      </c>
      <c r="CI12" s="2">
        <v>4535375</v>
      </c>
      <c r="CJ12" s="2">
        <v>4560155</v>
      </c>
      <c r="CK12" s="2">
        <f t="shared" si="5"/>
        <v>4167922.3333333335</v>
      </c>
      <c r="CL12" s="9">
        <v>0.32400000000000001</v>
      </c>
      <c r="CM12" s="9">
        <v>0.32300000000000001</v>
      </c>
      <c r="CN12" s="9">
        <v>0.316</v>
      </c>
      <c r="CO12" s="2">
        <f t="shared" si="6"/>
        <v>0.32100000000000001</v>
      </c>
    </row>
    <row r="13" spans="1:93" s="2" customFormat="1" ht="15.75" x14ac:dyDescent="0.25">
      <c r="A13" s="5" t="s">
        <v>201</v>
      </c>
      <c r="B13" s="2" t="s">
        <v>202</v>
      </c>
      <c r="C13" s="2">
        <v>47218405892.425797</v>
      </c>
      <c r="D13" s="2">
        <v>53749989092.019699</v>
      </c>
      <c r="E13" s="2">
        <v>67608919144.368401</v>
      </c>
      <c r="F13" s="2">
        <v>85302003908.042007</v>
      </c>
      <c r="G13" s="2">
        <v>103960017914.058</v>
      </c>
      <c r="H13" s="2">
        <v>112980947728.383</v>
      </c>
      <c r="I13" s="2">
        <v>115577256523.599</v>
      </c>
      <c r="J13" s="2">
        <v>139966001509.59201</v>
      </c>
      <c r="K13" s="2">
        <v>158136326477.965</v>
      </c>
      <c r="L13" s="2">
        <v>130760312876.683</v>
      </c>
      <c r="M13" s="2">
        <v>131916516051.985</v>
      </c>
      <c r="N13" s="2">
        <v>141759722464.00201</v>
      </c>
      <c r="O13" s="2">
        <f t="shared" si="0"/>
        <v>110839407388.67999</v>
      </c>
      <c r="T13" s="2">
        <v>29.9</v>
      </c>
      <c r="U13" s="2">
        <v>34.700000000000003</v>
      </c>
      <c r="V13" s="2">
        <v>28.3</v>
      </c>
      <c r="W13" s="2">
        <v>27.9</v>
      </c>
      <c r="X13" s="2">
        <v>27.5</v>
      </c>
      <c r="Y13" s="2">
        <v>27</v>
      </c>
      <c r="Z13" s="2">
        <v>29.4</v>
      </c>
      <c r="AA13" s="2">
        <v>29.2</v>
      </c>
      <c r="AB13" s="2">
        <f t="shared" si="1"/>
        <v>30.966666666666665</v>
      </c>
      <c r="AG13" s="2">
        <v>0.1</v>
      </c>
      <c r="AH13" s="2">
        <v>0.7</v>
      </c>
      <c r="AI13" s="2">
        <v>0.1</v>
      </c>
      <c r="AJ13" s="2">
        <v>0.1</v>
      </c>
      <c r="AK13" s="2">
        <v>0</v>
      </c>
      <c r="AL13" s="2">
        <v>0.1</v>
      </c>
      <c r="AM13" s="2">
        <v>0.1</v>
      </c>
      <c r="AN13" s="2">
        <v>0.1</v>
      </c>
      <c r="AO13" s="2">
        <f t="shared" si="2"/>
        <v>0.3</v>
      </c>
      <c r="AP13" s="2" t="s">
        <v>202</v>
      </c>
      <c r="AU13" s="2">
        <v>2.9</v>
      </c>
      <c r="AV13" s="2">
        <v>4.5</v>
      </c>
      <c r="AW13" s="2">
        <v>1.9</v>
      </c>
      <c r="AX13" s="2">
        <v>1.8</v>
      </c>
      <c r="AY13" s="2">
        <v>1.5</v>
      </c>
      <c r="AZ13" s="2">
        <v>1.4</v>
      </c>
      <c r="BA13" s="2">
        <v>2.5</v>
      </c>
      <c r="BB13" s="2">
        <v>2.8</v>
      </c>
      <c r="BC13" s="2">
        <f t="shared" si="3"/>
        <v>3.1</v>
      </c>
      <c r="BD13" s="2">
        <v>38593.477345025378</v>
      </c>
      <c r="BE13" s="2">
        <v>39167.990164347982</v>
      </c>
      <c r="BF13" s="2">
        <v>40070.92871888321</v>
      </c>
      <c r="BG13" s="2">
        <v>40745.350800464963</v>
      </c>
      <c r="BH13" s="2">
        <v>41550.946053151281</v>
      </c>
      <c r="BI13" s="2">
        <v>43025.134269975009</v>
      </c>
      <c r="BJ13" s="2">
        <v>43872.954107600417</v>
      </c>
      <c r="BK13" s="2">
        <v>43856.171684470617</v>
      </c>
      <c r="BL13" s="2">
        <v>43705.795379199793</v>
      </c>
      <c r="BM13" s="2">
        <v>44183.978333651743</v>
      </c>
      <c r="BN13" s="2">
        <v>44471.039000732722</v>
      </c>
      <c r="BO13" s="2">
        <v>45238.352450305894</v>
      </c>
      <c r="BP13" s="2">
        <v>45535.33582887947</v>
      </c>
      <c r="BQ13" s="2">
        <v>44359.503017507195</v>
      </c>
      <c r="BR13" s="2">
        <v>42181.573124223789</v>
      </c>
      <c r="BS13" s="2">
        <v>42709.421765144907</v>
      </c>
      <c r="BT13" s="2">
        <f t="shared" si="4"/>
        <v>44631.123261563451</v>
      </c>
      <c r="BU13" s="2">
        <v>56844303</v>
      </c>
      <c r="BV13" s="2">
        <v>56860281</v>
      </c>
      <c r="BW13" s="2">
        <v>56890372</v>
      </c>
      <c r="BX13" s="2">
        <v>56906744</v>
      </c>
      <c r="BY13" s="2">
        <v>56916317</v>
      </c>
      <c r="BZ13" s="2">
        <v>56942108</v>
      </c>
      <c r="CA13" s="2">
        <v>56974100</v>
      </c>
      <c r="CB13" s="2">
        <v>57059007</v>
      </c>
      <c r="CC13" s="2">
        <v>57313203</v>
      </c>
      <c r="CD13" s="2">
        <v>57685327</v>
      </c>
      <c r="CE13" s="2">
        <v>57969484</v>
      </c>
      <c r="CF13" s="2">
        <v>58143979</v>
      </c>
      <c r="CG13" s="2">
        <v>58438310</v>
      </c>
      <c r="CH13" s="2">
        <v>58826731</v>
      </c>
      <c r="CI13" s="2">
        <v>59095365</v>
      </c>
      <c r="CJ13" s="2">
        <v>59277417</v>
      </c>
      <c r="CK13" s="2">
        <f t="shared" si="5"/>
        <v>57932930</v>
      </c>
      <c r="CL13" s="9">
        <v>0.33200000000000002</v>
      </c>
      <c r="CM13" s="9">
        <v>0.33200000000000002</v>
      </c>
      <c r="CN13" s="9">
        <v>0.32600000000000001</v>
      </c>
      <c r="CO13" s="2">
        <f t="shared" si="6"/>
        <v>0.33</v>
      </c>
    </row>
    <row r="14" spans="1:93" s="2" customFormat="1" ht="15.75" x14ac:dyDescent="0.25">
      <c r="A14" s="5" t="s">
        <v>227</v>
      </c>
      <c r="B14" s="2" t="s">
        <v>228</v>
      </c>
      <c r="C14" s="2">
        <v>9003639602.6254196</v>
      </c>
      <c r="D14" s="2">
        <v>8205357404.5980196</v>
      </c>
      <c r="E14" s="2">
        <v>9294652008.4179096</v>
      </c>
      <c r="F14" s="2">
        <v>11414055065.246599</v>
      </c>
      <c r="G14" s="2">
        <v>13834750404.9624</v>
      </c>
      <c r="H14" s="2">
        <v>16812530830.3841</v>
      </c>
      <c r="I14" s="2">
        <v>17216420304.930199</v>
      </c>
      <c r="J14" s="2">
        <v>21514962938.100101</v>
      </c>
      <c r="K14" s="2">
        <v>17905251722.895</v>
      </c>
      <c r="L14" s="2">
        <v>13164652470.429899</v>
      </c>
      <c r="M14" s="2">
        <v>13683689692.6583</v>
      </c>
      <c r="N14" s="2">
        <v>15158548262.772301</v>
      </c>
      <c r="O14" s="2">
        <f t="shared" si="0"/>
        <v>15954567180.092234</v>
      </c>
      <c r="P14" s="2" t="s">
        <v>4</v>
      </c>
      <c r="T14" s="2">
        <v>26.8</v>
      </c>
      <c r="U14" s="2">
        <v>28</v>
      </c>
      <c r="V14" s="2">
        <v>29</v>
      </c>
      <c r="W14" s="2">
        <v>30.2</v>
      </c>
      <c r="X14" s="2">
        <v>29.5</v>
      </c>
      <c r="Y14" s="2">
        <v>31.8</v>
      </c>
      <c r="Z14" s="2">
        <v>28.7</v>
      </c>
      <c r="AA14" s="2">
        <v>26.2</v>
      </c>
      <c r="AB14" s="2">
        <f t="shared" si="1"/>
        <v>27.933333333333334</v>
      </c>
      <c r="AF14" s="2">
        <v>0</v>
      </c>
      <c r="AG14" s="2">
        <v>0.2</v>
      </c>
      <c r="AH14" s="2">
        <v>0</v>
      </c>
      <c r="AI14" s="2">
        <v>0.1</v>
      </c>
      <c r="AJ14" s="2">
        <v>0.1</v>
      </c>
      <c r="AK14" s="2">
        <v>0.1</v>
      </c>
      <c r="AL14" s="2">
        <v>0.1</v>
      </c>
      <c r="AM14" s="2">
        <v>0.1</v>
      </c>
      <c r="AN14" s="2">
        <v>0.1</v>
      </c>
      <c r="AO14" s="2">
        <f t="shared" si="2"/>
        <v>0.10000000000000002</v>
      </c>
      <c r="AP14" s="2" t="s">
        <v>228</v>
      </c>
      <c r="AT14" s="2">
        <v>0.3</v>
      </c>
      <c r="AU14" s="2">
        <v>0.4</v>
      </c>
      <c r="AV14" s="2">
        <v>0.2</v>
      </c>
      <c r="AW14" s="2">
        <v>0.3</v>
      </c>
      <c r="AX14" s="2">
        <v>0.2</v>
      </c>
      <c r="AY14" s="2">
        <v>0.1</v>
      </c>
      <c r="AZ14" s="2">
        <v>0.2</v>
      </c>
      <c r="BA14" s="2">
        <v>0.2</v>
      </c>
      <c r="BB14" s="2">
        <v>0.5</v>
      </c>
      <c r="BC14" s="2">
        <f t="shared" si="3"/>
        <v>0.30000000000000004</v>
      </c>
      <c r="BM14" s="2">
        <v>18885.403123571537</v>
      </c>
      <c r="BN14" s="2">
        <v>20820.259080664302</v>
      </c>
      <c r="BO14" s="2">
        <v>22650.439029424459</v>
      </c>
      <c r="BP14" s="2">
        <v>24968.425209276054</v>
      </c>
      <c r="BQ14" s="2">
        <v>26036.747050381142</v>
      </c>
      <c r="BR14" s="2">
        <v>23663.865424269152</v>
      </c>
      <c r="BS14" s="2">
        <v>23874.546581085357</v>
      </c>
      <c r="BT14" s="2">
        <f t="shared" si="4"/>
        <v>20785.367077886764</v>
      </c>
      <c r="BU14" s="2">
        <v>3629102</v>
      </c>
      <c r="BV14" s="2">
        <v>3601613</v>
      </c>
      <c r="BW14" s="2">
        <v>3575137</v>
      </c>
      <c r="BX14" s="2">
        <v>3549331</v>
      </c>
      <c r="BY14" s="2">
        <v>3524238</v>
      </c>
      <c r="BZ14" s="2">
        <v>3499536</v>
      </c>
      <c r="CA14" s="2">
        <v>3470818</v>
      </c>
      <c r="CB14" s="2">
        <v>3443067</v>
      </c>
      <c r="CC14" s="2">
        <v>3415213</v>
      </c>
      <c r="CD14" s="2">
        <v>3377075</v>
      </c>
      <c r="CE14" s="2">
        <v>3322528</v>
      </c>
      <c r="CF14" s="2">
        <v>3269909</v>
      </c>
      <c r="CG14" s="2">
        <v>3231294</v>
      </c>
      <c r="CH14" s="2">
        <v>3198231</v>
      </c>
      <c r="CI14" s="2">
        <v>3162916</v>
      </c>
      <c r="CJ14" s="2">
        <v>3097282</v>
      </c>
      <c r="CK14" s="2">
        <f t="shared" si="5"/>
        <v>3323170.6666666665</v>
      </c>
      <c r="CL14" s="9"/>
      <c r="CM14" s="9"/>
      <c r="CN14" s="9"/>
    </row>
    <row r="15" spans="1:93" s="2" customFormat="1" ht="15.75" x14ac:dyDescent="0.25">
      <c r="A15" s="5" t="s">
        <v>221</v>
      </c>
      <c r="B15" s="2" t="s">
        <v>222</v>
      </c>
      <c r="C15" s="2">
        <v>99852958356.366302</v>
      </c>
      <c r="D15" s="2">
        <v>109135253691.27499</v>
      </c>
      <c r="E15" s="2">
        <v>127949874835.31</v>
      </c>
      <c r="F15" s="2">
        <v>164284689616.25299</v>
      </c>
      <c r="G15" s="2">
        <v>193870692823.44199</v>
      </c>
      <c r="H15" s="2">
        <v>211649034945.90201</v>
      </c>
      <c r="I15" s="2">
        <v>232083467569.94101</v>
      </c>
      <c r="J15" s="2">
        <v>269917942786.75101</v>
      </c>
      <c r="K15" s="2">
        <v>275038895561.73999</v>
      </c>
      <c r="L15" s="2">
        <v>236316405946.09601</v>
      </c>
      <c r="M15" s="2">
        <v>222148757577.89099</v>
      </c>
      <c r="N15" s="2">
        <v>237472361733.54599</v>
      </c>
      <c r="O15" s="2">
        <f t="shared" si="0"/>
        <v>212534398446.42834</v>
      </c>
      <c r="P15" s="2">
        <v>33</v>
      </c>
      <c r="S15" s="2">
        <v>32.9</v>
      </c>
      <c r="T15" s="2">
        <v>33.6</v>
      </c>
      <c r="U15" s="2">
        <v>33.799999999999997</v>
      </c>
      <c r="V15" s="2">
        <v>32.700000000000003</v>
      </c>
      <c r="W15" s="2">
        <v>31.9</v>
      </c>
      <c r="X15" s="2">
        <v>30.9</v>
      </c>
      <c r="Y15" s="2">
        <v>32.700000000000003</v>
      </c>
      <c r="Z15" s="2">
        <v>32.299999999999997</v>
      </c>
      <c r="AA15" s="2">
        <v>32.9</v>
      </c>
      <c r="AB15" s="2">
        <f t="shared" si="1"/>
        <v>33.366666666666667</v>
      </c>
      <c r="AC15" s="2">
        <v>0.2</v>
      </c>
      <c r="AF15" s="2">
        <v>0.1</v>
      </c>
      <c r="AG15" s="2">
        <v>0</v>
      </c>
      <c r="AH15" s="2">
        <v>0</v>
      </c>
      <c r="AI15" s="2">
        <v>0.4</v>
      </c>
      <c r="AJ15" s="2">
        <v>0.1</v>
      </c>
      <c r="AK15" s="2">
        <v>0.2</v>
      </c>
      <c r="AL15" s="2">
        <v>0.4</v>
      </c>
      <c r="AM15" s="2">
        <v>0.5</v>
      </c>
      <c r="AN15" s="2">
        <v>0.5</v>
      </c>
      <c r="AO15" s="2">
        <f t="shared" si="2"/>
        <v>0.13333333333333333</v>
      </c>
      <c r="AP15" s="2" t="s">
        <v>222</v>
      </c>
      <c r="AQ15" s="2">
        <v>0.5</v>
      </c>
      <c r="AT15" s="2">
        <v>0.4</v>
      </c>
      <c r="AU15" s="2">
        <v>0.3</v>
      </c>
      <c r="AV15" s="2">
        <v>0.2</v>
      </c>
      <c r="AW15" s="2">
        <v>0.6</v>
      </c>
      <c r="AX15" s="2">
        <v>0.4</v>
      </c>
      <c r="AY15" s="2">
        <v>0.6</v>
      </c>
      <c r="AZ15" s="2">
        <v>1.2</v>
      </c>
      <c r="BA15" s="2">
        <v>1.5</v>
      </c>
      <c r="BB15" s="2">
        <v>1.2</v>
      </c>
      <c r="BC15" s="2">
        <f t="shared" si="3"/>
        <v>0.3666666666666667</v>
      </c>
      <c r="BD15" s="2">
        <v>34506.39325319817</v>
      </c>
      <c r="BE15" s="2">
        <v>35600.662548915541</v>
      </c>
      <c r="BF15" s="2">
        <v>35933.864564850803</v>
      </c>
      <c r="BG15" s="2">
        <v>35408.546282799558</v>
      </c>
      <c r="BH15" s="2">
        <v>35251.099698088576</v>
      </c>
      <c r="BI15" s="2">
        <v>36252.001888164697</v>
      </c>
      <c r="BJ15" s="2">
        <v>36347.585250653166</v>
      </c>
      <c r="BK15" s="2">
        <v>36265.780552501485</v>
      </c>
      <c r="BL15" s="2">
        <v>36800.295698335918</v>
      </c>
      <c r="BM15" s="2">
        <v>37710.782174280728</v>
      </c>
      <c r="BN15" s="2">
        <v>38440.224481203026</v>
      </c>
      <c r="BO15" s="2">
        <v>39128.281328793979</v>
      </c>
      <c r="BP15" s="2">
        <v>39874.053887319635</v>
      </c>
      <c r="BQ15" s="2">
        <v>39254.484848945227</v>
      </c>
      <c r="BR15" s="2">
        <v>37083.330730545764</v>
      </c>
      <c r="BS15" s="2">
        <v>38675.96387737857</v>
      </c>
      <c r="BT15" s="2">
        <f t="shared" si="4"/>
        <v>38426.429328092578</v>
      </c>
      <c r="BU15" s="2">
        <v>125439000</v>
      </c>
      <c r="BV15" s="2">
        <v>125757000</v>
      </c>
      <c r="BW15" s="2">
        <v>126057000</v>
      </c>
      <c r="BX15" s="2">
        <v>126400000</v>
      </c>
      <c r="BY15" s="2">
        <v>126631000</v>
      </c>
      <c r="BZ15" s="2">
        <v>126843000</v>
      </c>
      <c r="CA15" s="2">
        <v>127149000</v>
      </c>
      <c r="CB15" s="2">
        <v>127445000</v>
      </c>
      <c r="CC15" s="2">
        <v>127718000</v>
      </c>
      <c r="CD15" s="2">
        <v>127761000</v>
      </c>
      <c r="CE15" s="2">
        <v>127773000</v>
      </c>
      <c r="CF15" s="2">
        <v>127854000</v>
      </c>
      <c r="CG15" s="2">
        <v>128001000</v>
      </c>
      <c r="CH15" s="2">
        <v>128063000</v>
      </c>
      <c r="CI15" s="2">
        <v>128047000</v>
      </c>
      <c r="CJ15" s="2">
        <v>128070000</v>
      </c>
      <c r="CK15" s="2">
        <f t="shared" si="5"/>
        <v>127796000</v>
      </c>
      <c r="CL15" s="9"/>
      <c r="CM15" s="9"/>
      <c r="CN15" s="9">
        <v>0.32800000000000001</v>
      </c>
      <c r="CO15" s="2">
        <f>AVERAGE(CL15:CN15)</f>
        <v>0.32800000000000001</v>
      </c>
    </row>
    <row r="16" spans="1:93" s="2" customFormat="1" ht="15.75" x14ac:dyDescent="0.25">
      <c r="A16" s="5" t="s">
        <v>231</v>
      </c>
      <c r="B16" s="2" t="s">
        <v>232</v>
      </c>
      <c r="C16" s="2">
        <v>1143829832319.8799</v>
      </c>
      <c r="D16" s="2">
        <v>1167012796420.5801</v>
      </c>
      <c r="E16" s="2">
        <v>1270712309429.7</v>
      </c>
      <c r="F16" s="2">
        <v>1574145823927.77</v>
      </c>
      <c r="G16" s="2">
        <v>1803226967966.23</v>
      </c>
      <c r="H16" s="2">
        <v>1857524312896.4099</v>
      </c>
      <c r="I16" s="2">
        <v>1947919708944.9299</v>
      </c>
      <c r="J16" s="2">
        <v>2210292636189.4302</v>
      </c>
      <c r="K16" s="2">
        <v>2398856598798.8901</v>
      </c>
      <c r="L16" s="2">
        <v>2191241872742.4299</v>
      </c>
      <c r="M16" s="2">
        <v>2134017843247.1599</v>
      </c>
      <c r="N16" s="2">
        <v>2291991045770.29</v>
      </c>
      <c r="O16" s="2">
        <f t="shared" si="0"/>
        <v>1869556996602.5232</v>
      </c>
      <c r="P16" s="2">
        <v>35.299999999999997</v>
      </c>
      <c r="S16" s="2">
        <v>34.9</v>
      </c>
      <c r="T16" s="2">
        <v>34.299999999999997</v>
      </c>
      <c r="U16" s="2">
        <v>33.799999999999997</v>
      </c>
      <c r="V16" s="2">
        <v>33.700000000000003</v>
      </c>
      <c r="W16" s="2">
        <v>32.9</v>
      </c>
      <c r="X16" s="2">
        <v>33.799999999999997</v>
      </c>
      <c r="Y16" s="2">
        <v>33.799999999999997</v>
      </c>
      <c r="Z16" s="2">
        <v>34.700000000000003</v>
      </c>
      <c r="AA16" s="2">
        <v>35.1</v>
      </c>
      <c r="AB16" s="2">
        <f t="shared" si="1"/>
        <v>33.93333333333333</v>
      </c>
      <c r="AC16" s="2">
        <v>1.2</v>
      </c>
      <c r="AF16" s="2">
        <v>0.8</v>
      </c>
      <c r="AG16" s="2">
        <v>0.6</v>
      </c>
      <c r="AH16" s="2">
        <v>0.6</v>
      </c>
      <c r="AI16" s="2">
        <v>0.7</v>
      </c>
      <c r="AJ16" s="2">
        <v>0.7</v>
      </c>
      <c r="AK16" s="2">
        <v>0.7</v>
      </c>
      <c r="AL16" s="2">
        <v>0.9</v>
      </c>
      <c r="AM16" s="2">
        <v>1.3</v>
      </c>
      <c r="AN16" s="2">
        <v>1.2</v>
      </c>
      <c r="AO16" s="2">
        <f t="shared" si="2"/>
        <v>0.6333333333333333</v>
      </c>
      <c r="AP16" s="2" t="s">
        <v>232</v>
      </c>
      <c r="AQ16" s="2">
        <v>3</v>
      </c>
      <c r="AT16" s="2">
        <v>1.8</v>
      </c>
      <c r="AU16" s="2">
        <v>1.5</v>
      </c>
      <c r="AV16" s="2">
        <v>1.7</v>
      </c>
      <c r="AW16" s="2">
        <v>1.4</v>
      </c>
      <c r="AX16" s="2">
        <v>1.6</v>
      </c>
      <c r="AY16" s="2">
        <v>1.7</v>
      </c>
      <c r="AZ16" s="2">
        <v>1.8</v>
      </c>
      <c r="BA16" s="2">
        <v>2.5</v>
      </c>
      <c r="BB16" s="2">
        <v>2.4</v>
      </c>
      <c r="BC16" s="2">
        <f t="shared" si="3"/>
        <v>1.5333333333333332</v>
      </c>
      <c r="BD16" s="2">
        <v>78860.135275237582</v>
      </c>
      <c r="BE16" s="2">
        <v>78963.595553040606</v>
      </c>
      <c r="BF16" s="2">
        <v>85395.430366766814</v>
      </c>
      <c r="BG16" s="2">
        <v>85950.113808226844</v>
      </c>
      <c r="BH16" s="2">
        <v>89302.909781997994</v>
      </c>
      <c r="BI16" s="2">
        <v>93861.269097955344</v>
      </c>
      <c r="BJ16" s="2">
        <v>97522.139786885891</v>
      </c>
      <c r="BK16" s="2">
        <v>91282.19196504273</v>
      </c>
      <c r="BL16" s="2">
        <v>84251.432696184362</v>
      </c>
      <c r="BM16" s="2">
        <v>97263.479843972716</v>
      </c>
      <c r="BN16" s="2">
        <v>99639.889703367604</v>
      </c>
      <c r="BO16" s="2">
        <v>91170.668548934802</v>
      </c>
      <c r="BP16" s="2">
        <v>107552.27439529625</v>
      </c>
      <c r="BQ16" s="2">
        <v>101236.57062288842</v>
      </c>
      <c r="BR16" s="2">
        <v>73823.574504653123</v>
      </c>
      <c r="BS16" s="2">
        <v>79024.106579649335</v>
      </c>
      <c r="BT16" s="2">
        <f t="shared" si="4"/>
        <v>96024.679365425036</v>
      </c>
      <c r="BU16" s="2">
        <v>408625</v>
      </c>
      <c r="BV16" s="2">
        <v>414225</v>
      </c>
      <c r="BW16" s="2">
        <v>419450</v>
      </c>
      <c r="BX16" s="2">
        <v>424700</v>
      </c>
      <c r="BY16" s="2">
        <v>430475</v>
      </c>
      <c r="BZ16" s="2">
        <v>436300</v>
      </c>
      <c r="CA16" s="2">
        <v>441525</v>
      </c>
      <c r="CB16" s="2">
        <v>446175</v>
      </c>
      <c r="CC16" s="2">
        <v>451630</v>
      </c>
      <c r="CD16" s="2">
        <v>458095</v>
      </c>
      <c r="CE16" s="2">
        <v>465158</v>
      </c>
      <c r="CF16" s="2">
        <v>472637</v>
      </c>
      <c r="CG16" s="2">
        <v>479993</v>
      </c>
      <c r="CH16" s="2">
        <v>488650</v>
      </c>
      <c r="CI16" s="2">
        <v>497783</v>
      </c>
      <c r="CJ16" s="2">
        <v>506953</v>
      </c>
      <c r="CK16" s="2">
        <f t="shared" si="5"/>
        <v>465296.66666666669</v>
      </c>
      <c r="CL16" s="9">
        <v>0.27</v>
      </c>
      <c r="CM16" s="9">
        <v>0.27</v>
      </c>
      <c r="CN16" s="9">
        <v>0.27700000000000002</v>
      </c>
      <c r="CO16" s="2">
        <f>AVERAGE(CL16:CN16)</f>
        <v>0.27233333333333337</v>
      </c>
    </row>
    <row r="17" spans="1:93" s="2" customFormat="1" ht="15.75" x14ac:dyDescent="0.25">
      <c r="A17" s="7" t="s">
        <v>237</v>
      </c>
      <c r="B17" s="3" t="s">
        <v>238</v>
      </c>
      <c r="C17" s="3">
        <v>4887519660744.8604</v>
      </c>
      <c r="D17" s="3">
        <v>4303544259842.7202</v>
      </c>
      <c r="E17" s="3">
        <v>4115116279069.77</v>
      </c>
      <c r="F17" s="3">
        <v>4445658071221.8604</v>
      </c>
      <c r="G17" s="3">
        <v>4815148854362.1104</v>
      </c>
      <c r="H17" s="3">
        <v>4755410630912.1396</v>
      </c>
      <c r="I17" s="3">
        <v>4530377224970.4004</v>
      </c>
      <c r="J17" s="3">
        <v>4515264514430.5703</v>
      </c>
      <c r="K17" s="3">
        <v>5037908465114.4805</v>
      </c>
      <c r="L17" s="3">
        <v>5231382674593.7002</v>
      </c>
      <c r="M17" s="3">
        <v>5700098114744.4102</v>
      </c>
      <c r="N17" s="3">
        <v>6157459594823.7197</v>
      </c>
      <c r="O17" s="3">
        <f t="shared" si="0"/>
        <v>4700312236748.2168</v>
      </c>
      <c r="P17" s="3"/>
      <c r="Q17" s="3"/>
      <c r="R17" s="3"/>
      <c r="S17" s="3"/>
      <c r="T17" s="3"/>
      <c r="U17" s="3"/>
      <c r="V17" s="3"/>
      <c r="W17" s="3"/>
      <c r="X17" s="3">
        <v>34.799999999999997</v>
      </c>
      <c r="Y17" s="3"/>
      <c r="Z17" s="3">
        <v>32.1</v>
      </c>
      <c r="AA17" s="3"/>
      <c r="AB17" s="3" t="e">
        <f t="shared" si="1"/>
        <v>#DIV/0!</v>
      </c>
      <c r="AC17" s="3"/>
      <c r="AD17" s="3"/>
      <c r="AE17" s="3"/>
      <c r="AF17" s="3"/>
      <c r="AG17" s="3"/>
      <c r="AH17" s="3"/>
      <c r="AI17" s="3"/>
      <c r="AJ17" s="3"/>
      <c r="AK17" s="3">
        <v>0.5</v>
      </c>
      <c r="AL17" s="3"/>
      <c r="AM17" s="3">
        <v>0</v>
      </c>
      <c r="AN17" s="3"/>
      <c r="AO17" s="3" t="e">
        <f t="shared" si="2"/>
        <v>#DIV/0!</v>
      </c>
      <c r="AP17" s="3" t="s">
        <v>238</v>
      </c>
      <c r="AQ17" s="3"/>
      <c r="AR17" s="3"/>
      <c r="AS17" s="3"/>
      <c r="AT17" s="3"/>
      <c r="AU17" s="3"/>
      <c r="AV17" s="3"/>
      <c r="AW17" s="3"/>
      <c r="AX17" s="3"/>
      <c r="AY17" s="3">
        <v>1.4</v>
      </c>
      <c r="AZ17" s="3"/>
      <c r="BA17" s="3">
        <v>0.5</v>
      </c>
      <c r="BB17" s="3"/>
      <c r="BC17" s="3" t="e">
        <f t="shared" si="3"/>
        <v>#DIV/0!</v>
      </c>
      <c r="BD17" s="2">
        <v>40229.811528181286</v>
      </c>
      <c r="BE17" s="2">
        <v>41504.697060446219</v>
      </c>
      <c r="BF17" s="2">
        <v>42790.259123977317</v>
      </c>
      <c r="BG17" s="2">
        <v>43942.520665793221</v>
      </c>
      <c r="BH17" s="2">
        <v>46615.369957837909</v>
      </c>
      <c r="BI17" s="2">
        <v>48429.292979901518</v>
      </c>
      <c r="BJ17" s="2">
        <v>48084.895551378868</v>
      </c>
      <c r="BK17" s="2">
        <v>47980.935525933448</v>
      </c>
      <c r="BL17" s="2">
        <v>48474.774470020646</v>
      </c>
      <c r="BM17" s="2">
        <v>49019.446847105159</v>
      </c>
      <c r="BN17" s="2">
        <v>48932.432752745772</v>
      </c>
      <c r="BO17" s="2">
        <v>51662.055060326798</v>
      </c>
      <c r="BP17" s="2">
        <v>53054.229376306561</v>
      </c>
      <c r="BQ17" s="2">
        <v>52487.01689945352</v>
      </c>
      <c r="BR17" s="2">
        <v>51259.961750849689</v>
      </c>
      <c r="BS17" s="2">
        <v>52352.359146685907</v>
      </c>
      <c r="BT17" s="2">
        <f t="shared" si="4"/>
        <v>49871.311553392581</v>
      </c>
      <c r="BU17" s="2">
        <v>15459006</v>
      </c>
      <c r="BV17" s="2">
        <v>15530498</v>
      </c>
      <c r="BW17" s="2">
        <v>15610650</v>
      </c>
      <c r="BX17" s="2">
        <v>15707209</v>
      </c>
      <c r="BY17" s="2">
        <v>15812088</v>
      </c>
      <c r="BZ17" s="2">
        <v>15925513</v>
      </c>
      <c r="CA17" s="2">
        <v>16046180</v>
      </c>
      <c r="CB17" s="2">
        <v>16148929</v>
      </c>
      <c r="CC17" s="2">
        <v>16225302</v>
      </c>
      <c r="CD17" s="2">
        <v>16281779</v>
      </c>
      <c r="CE17" s="2">
        <v>16319868</v>
      </c>
      <c r="CF17" s="2">
        <v>16346101</v>
      </c>
      <c r="CG17" s="2">
        <v>16381696</v>
      </c>
      <c r="CH17" s="2">
        <v>16445593</v>
      </c>
      <c r="CI17" s="2">
        <v>16530388</v>
      </c>
      <c r="CJ17" s="2">
        <v>16615394</v>
      </c>
      <c r="CK17" s="2">
        <f t="shared" si="5"/>
        <v>16315916</v>
      </c>
      <c r="CL17" s="9">
        <v>0.26700000000000002</v>
      </c>
      <c r="CM17" s="9">
        <v>0.26700000000000002</v>
      </c>
      <c r="CN17" s="9">
        <v>0.27600000000000002</v>
      </c>
      <c r="CO17" s="2">
        <f>AVERAGE(CL17:CN17)</f>
        <v>0.27</v>
      </c>
    </row>
    <row r="18" spans="1:93" s="2" customFormat="1" ht="15.75" x14ac:dyDescent="0.25">
      <c r="A18" s="5" t="s">
        <v>285</v>
      </c>
      <c r="B18" s="2" t="s">
        <v>286</v>
      </c>
      <c r="C18" s="2">
        <v>11524776866.637899</v>
      </c>
      <c r="D18" s="2">
        <v>12237388001.7264</v>
      </c>
      <c r="E18" s="2">
        <v>14259781159.0119</v>
      </c>
      <c r="F18" s="2">
        <v>18781721376.198502</v>
      </c>
      <c r="G18" s="2">
        <v>22627507451.5648</v>
      </c>
      <c r="H18" s="2">
        <v>26097677571.837299</v>
      </c>
      <c r="I18" s="2">
        <v>30183575103.526199</v>
      </c>
      <c r="J18" s="2">
        <v>39697891351.9431</v>
      </c>
      <c r="K18" s="2">
        <v>47797551587.882301</v>
      </c>
      <c r="L18" s="2">
        <v>37388122046.149597</v>
      </c>
      <c r="M18" s="2">
        <v>37138464732.983803</v>
      </c>
      <c r="N18" s="2">
        <v>43582248869.614304</v>
      </c>
      <c r="O18" s="2">
        <f t="shared" si="0"/>
        <v>26302920042.309433</v>
      </c>
      <c r="T18" s="2">
        <v>37</v>
      </c>
      <c r="U18" s="2">
        <v>35.299999999999997</v>
      </c>
      <c r="V18" s="2">
        <v>34.4</v>
      </c>
      <c r="W18" s="2">
        <v>34.799999999999997</v>
      </c>
      <c r="X18" s="2">
        <v>35.700000000000003</v>
      </c>
      <c r="Y18" s="2">
        <v>37.200000000000003</v>
      </c>
      <c r="Z18" s="2">
        <v>33.6</v>
      </c>
      <c r="AA18" s="2">
        <v>32.5</v>
      </c>
      <c r="AB18" s="2">
        <f t="shared" si="1"/>
        <v>35.566666666666663</v>
      </c>
      <c r="AG18" s="2">
        <v>2.7</v>
      </c>
      <c r="AH18" s="2">
        <v>1.8</v>
      </c>
      <c r="AI18" s="2">
        <v>1.5</v>
      </c>
      <c r="AJ18" s="2">
        <v>1.3</v>
      </c>
      <c r="AK18" s="2">
        <v>1.4</v>
      </c>
      <c r="AL18" s="2">
        <v>2.2000000000000002</v>
      </c>
      <c r="AM18" s="2">
        <v>1.5</v>
      </c>
      <c r="AN18" s="2">
        <v>0.7</v>
      </c>
      <c r="AO18" s="2">
        <f t="shared" si="2"/>
        <v>2</v>
      </c>
      <c r="AP18" s="2" t="s">
        <v>286</v>
      </c>
      <c r="AU18" s="2">
        <v>18.7</v>
      </c>
      <c r="AV18" s="2">
        <v>12.1</v>
      </c>
      <c r="AW18" s="2">
        <v>7.1</v>
      </c>
      <c r="AX18" s="2">
        <v>4.3</v>
      </c>
      <c r="AY18" s="2">
        <v>4.5</v>
      </c>
      <c r="AZ18" s="2">
        <v>8.9</v>
      </c>
      <c r="BA18" s="2">
        <v>8.1999999999999993</v>
      </c>
      <c r="BB18" s="2">
        <v>5.3</v>
      </c>
      <c r="BC18" s="2">
        <f t="shared" si="3"/>
        <v>12.633333333333333</v>
      </c>
      <c r="BD18" s="2">
        <v>28167.324219018716</v>
      </c>
      <c r="BE18" s="2">
        <v>28401.471002767947</v>
      </c>
      <c r="BF18" s="2">
        <v>29015.801047240107</v>
      </c>
      <c r="BG18" s="2">
        <v>29387.304724290963</v>
      </c>
      <c r="BH18" s="2">
        <v>30426.727389007094</v>
      </c>
      <c r="BI18" s="2">
        <v>31211.316651257239</v>
      </c>
      <c r="BJ18" s="2">
        <v>32275.306693655017</v>
      </c>
      <c r="BK18" s="2">
        <v>33216.856305299967</v>
      </c>
      <c r="BL18" s="2">
        <v>34116.991126686829</v>
      </c>
      <c r="BM18" s="2">
        <v>34652.608931380935</v>
      </c>
      <c r="BN18" s="2">
        <v>35111.446041065326</v>
      </c>
      <c r="BO18" s="2">
        <v>35598.983921531384</v>
      </c>
      <c r="BP18" s="2">
        <v>36117.108837314518</v>
      </c>
      <c r="BQ18" s="2">
        <v>35427.387870916216</v>
      </c>
      <c r="BR18" s="2">
        <v>36156.596734643834</v>
      </c>
      <c r="BS18" s="2">
        <v>35966.142819524364</v>
      </c>
      <c r="BT18" s="2">
        <f t="shared" si="4"/>
        <v>35121.012964659218</v>
      </c>
      <c r="BU18" s="2">
        <v>3673400</v>
      </c>
      <c r="BV18" s="2">
        <v>3732000</v>
      </c>
      <c r="BW18" s="2">
        <v>3781300</v>
      </c>
      <c r="BX18" s="2">
        <v>3815000</v>
      </c>
      <c r="BY18" s="2">
        <v>3835100</v>
      </c>
      <c r="BZ18" s="2">
        <v>3857700</v>
      </c>
      <c r="CA18" s="2">
        <v>3880500</v>
      </c>
      <c r="CB18" s="2">
        <v>3948500</v>
      </c>
      <c r="CC18" s="2">
        <v>4027200</v>
      </c>
      <c r="CD18" s="2">
        <v>4087500</v>
      </c>
      <c r="CE18" s="2">
        <v>4133900</v>
      </c>
      <c r="CF18" s="2">
        <v>4184600</v>
      </c>
      <c r="CG18" s="2">
        <v>4223800</v>
      </c>
      <c r="CH18" s="2">
        <v>4259800</v>
      </c>
      <c r="CI18" s="2">
        <v>4302600</v>
      </c>
      <c r="CJ18" s="2">
        <v>4350700</v>
      </c>
      <c r="CK18" s="2">
        <f t="shared" si="5"/>
        <v>4135333.3333333335</v>
      </c>
      <c r="CL18" s="9"/>
      <c r="CM18" s="9"/>
      <c r="CN18" s="9"/>
    </row>
    <row r="19" spans="1:93" s="2" customFormat="1" ht="15.75" x14ac:dyDescent="0.25">
      <c r="A19" s="5" t="s">
        <v>287</v>
      </c>
      <c r="B19" s="2" t="s">
        <v>288</v>
      </c>
      <c r="C19" s="2">
        <v>21263514833.241199</v>
      </c>
      <c r="D19" s="2">
        <v>21272418791.946301</v>
      </c>
      <c r="E19" s="2">
        <v>23616328816.111401</v>
      </c>
      <c r="F19" s="2">
        <v>29557325056.433399</v>
      </c>
      <c r="G19" s="2">
        <v>34685281847.529198</v>
      </c>
      <c r="H19" s="2">
        <v>37347394602.6614</v>
      </c>
      <c r="I19" s="2">
        <v>42414308116.923897</v>
      </c>
      <c r="J19" s="2">
        <v>50888134410.073898</v>
      </c>
      <c r="K19" s="2">
        <v>55849686538.743202</v>
      </c>
      <c r="L19" s="2">
        <v>51370543206.446198</v>
      </c>
      <c r="M19" s="2">
        <v>53212476812.2957</v>
      </c>
      <c r="N19" s="2">
        <v>60004630234.413498</v>
      </c>
      <c r="O19" s="2">
        <f t="shared" si="0"/>
        <v>38148994855.704834</v>
      </c>
      <c r="P19" s="2">
        <v>30.4</v>
      </c>
      <c r="S19" s="2">
        <v>30.2</v>
      </c>
      <c r="T19" s="2">
        <v>30.2</v>
      </c>
      <c r="U19" s="2">
        <v>30.8</v>
      </c>
      <c r="V19" s="2">
        <v>30.9</v>
      </c>
      <c r="W19" s="2">
        <v>31.1</v>
      </c>
      <c r="X19" s="2">
        <v>32.6</v>
      </c>
      <c r="Y19" s="2">
        <v>31.2</v>
      </c>
      <c r="Z19" s="2">
        <v>30.5</v>
      </c>
      <c r="AA19" s="2">
        <v>32.1</v>
      </c>
      <c r="AB19" s="2">
        <f t="shared" si="1"/>
        <v>30.633333333333336</v>
      </c>
      <c r="AC19" s="2">
        <v>0</v>
      </c>
      <c r="AF19" s="2">
        <v>0.1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0.1</v>
      </c>
      <c r="AO19" s="2">
        <f t="shared" si="2"/>
        <v>0</v>
      </c>
      <c r="AP19" s="2" t="s">
        <v>288</v>
      </c>
      <c r="AQ19" s="2">
        <v>0</v>
      </c>
      <c r="AT19" s="2">
        <v>0.5</v>
      </c>
      <c r="AU19" s="2">
        <v>0.1</v>
      </c>
      <c r="AV19" s="2">
        <v>0.1</v>
      </c>
      <c r="AW19" s="2">
        <v>0</v>
      </c>
      <c r="AX19" s="2">
        <v>0</v>
      </c>
      <c r="AY19" s="2">
        <v>0</v>
      </c>
      <c r="AZ19" s="2">
        <v>0.2</v>
      </c>
      <c r="BA19" s="2">
        <v>0.1</v>
      </c>
      <c r="BB19" s="2">
        <v>0.2</v>
      </c>
      <c r="BC19" s="2">
        <f t="shared" si="3"/>
        <v>6.6666666666666666E-2</v>
      </c>
      <c r="BD19" s="2">
        <v>49093.509362964251</v>
      </c>
      <c r="BE19" s="2">
        <v>51323.377093603391</v>
      </c>
      <c r="BF19" s="2">
        <v>53778.323435258273</v>
      </c>
      <c r="BG19" s="2">
        <v>54842.841879920037</v>
      </c>
      <c r="BH19" s="2">
        <v>55682.143753097218</v>
      </c>
      <c r="BI19" s="2">
        <v>56774.525465394559</v>
      </c>
      <c r="BJ19" s="2">
        <v>58445.132811722149</v>
      </c>
      <c r="BK19" s="2">
        <v>59083.507500011845</v>
      </c>
      <c r="BL19" s="2">
        <v>59437.851789134467</v>
      </c>
      <c r="BM19" s="2">
        <v>61203.783472133007</v>
      </c>
      <c r="BN19" s="2">
        <v>62953.44355053152</v>
      </c>
      <c r="BO19" s="2">
        <v>63304.380641072974</v>
      </c>
      <c r="BP19" s="2">
        <v>64273.750052471121</v>
      </c>
      <c r="BQ19" s="2">
        <v>63668.342560384212</v>
      </c>
      <c r="BR19" s="2">
        <v>62439.102725834739</v>
      </c>
      <c r="BS19" s="2">
        <v>62433.075939807313</v>
      </c>
      <c r="BT19" s="2">
        <f t="shared" si="4"/>
        <v>62487.202554579162</v>
      </c>
      <c r="BU19" s="2">
        <v>4359184</v>
      </c>
      <c r="BV19" s="2">
        <v>4381336</v>
      </c>
      <c r="BW19" s="2">
        <v>4405157</v>
      </c>
      <c r="BX19" s="2">
        <v>4431464</v>
      </c>
      <c r="BY19" s="2">
        <v>4461913</v>
      </c>
      <c r="BZ19" s="2">
        <v>4490967</v>
      </c>
      <c r="CA19" s="2">
        <v>4513751</v>
      </c>
      <c r="CB19" s="2">
        <v>4538159</v>
      </c>
      <c r="CC19" s="2">
        <v>4564855</v>
      </c>
      <c r="CD19" s="2">
        <v>4591910</v>
      </c>
      <c r="CE19" s="2">
        <v>4623291</v>
      </c>
      <c r="CF19" s="2">
        <v>4660677</v>
      </c>
      <c r="CG19" s="2">
        <v>4709153</v>
      </c>
      <c r="CH19" s="2">
        <v>4768212</v>
      </c>
      <c r="CI19" s="2">
        <v>4828726</v>
      </c>
      <c r="CJ19" s="2">
        <v>4889252</v>
      </c>
      <c r="CK19" s="2">
        <f t="shared" si="5"/>
        <v>4625292.666666667</v>
      </c>
      <c r="CL19" s="9">
        <v>0.26100000000000001</v>
      </c>
      <c r="CM19" s="9">
        <v>0.26100000000000001</v>
      </c>
      <c r="CN19" s="9">
        <v>0.246</v>
      </c>
      <c r="CO19" s="2">
        <f>AVERAGE(CL19:CN19)</f>
        <v>0.25600000000000001</v>
      </c>
    </row>
    <row r="20" spans="1:93" s="3" customFormat="1" ht="15.75" x14ac:dyDescent="0.25">
      <c r="A20" s="5" t="s">
        <v>351</v>
      </c>
      <c r="B20" s="2" t="s">
        <v>352</v>
      </c>
      <c r="C20" s="2">
        <v>416442786069.65198</v>
      </c>
      <c r="D20" s="2">
        <v>431213422818.79199</v>
      </c>
      <c r="E20" s="2">
        <v>471613965744.401</v>
      </c>
      <c r="F20" s="2">
        <v>578792325056.43298</v>
      </c>
      <c r="G20" s="2">
        <v>657171591755.64905</v>
      </c>
      <c r="H20" s="2">
        <v>685092650167.89001</v>
      </c>
      <c r="I20" s="2">
        <v>733340860619.74695</v>
      </c>
      <c r="J20" s="2">
        <v>847481522036.68201</v>
      </c>
      <c r="K20" s="2">
        <v>947997656364.43506</v>
      </c>
      <c r="L20" s="2">
        <v>868077243678.80005</v>
      </c>
      <c r="M20" s="2">
        <v>846554894931.08398</v>
      </c>
      <c r="N20" s="2">
        <v>904085980796.01794</v>
      </c>
      <c r="O20" s="2">
        <f t="shared" si="0"/>
        <v>691868367514.42871</v>
      </c>
      <c r="P20" s="2"/>
      <c r="Q20" s="2"/>
      <c r="R20" s="2"/>
      <c r="S20" s="2"/>
      <c r="T20" s="2">
        <v>29.8</v>
      </c>
      <c r="U20" s="2">
        <v>29</v>
      </c>
      <c r="V20" s="2">
        <v>30</v>
      </c>
      <c r="W20" s="2">
        <v>29.6</v>
      </c>
      <c r="X20" s="2">
        <v>29.3</v>
      </c>
      <c r="Y20" s="2">
        <v>27.9</v>
      </c>
      <c r="Z20" s="2">
        <v>27.8</v>
      </c>
      <c r="AA20" s="2">
        <v>27.8</v>
      </c>
      <c r="AB20" s="2">
        <f t="shared" si="1"/>
        <v>29.599999999999998</v>
      </c>
      <c r="AC20" s="2"/>
      <c r="AD20" s="2"/>
      <c r="AE20" s="2"/>
      <c r="AF20" s="2"/>
      <c r="AG20" s="2">
        <v>0.2</v>
      </c>
      <c r="AH20" s="2">
        <v>0.1</v>
      </c>
      <c r="AI20" s="2">
        <v>0</v>
      </c>
      <c r="AJ20" s="2">
        <v>0</v>
      </c>
      <c r="AK20" s="2">
        <v>0.1</v>
      </c>
      <c r="AL20" s="2">
        <v>0.1</v>
      </c>
      <c r="AM20" s="2">
        <v>0</v>
      </c>
      <c r="AN20" s="2">
        <v>0.1</v>
      </c>
      <c r="AO20" s="2">
        <f t="shared" si="2"/>
        <v>0.10000000000000002</v>
      </c>
      <c r="AP20" s="2" t="s">
        <v>352</v>
      </c>
      <c r="AQ20" s="2"/>
      <c r="AR20" s="2"/>
      <c r="AS20" s="2"/>
      <c r="AT20" s="2"/>
      <c r="AU20" s="2">
        <v>0.8</v>
      </c>
      <c r="AV20" s="2">
        <v>0.4</v>
      </c>
      <c r="AW20" s="2">
        <v>0.2</v>
      </c>
      <c r="AX20" s="2">
        <v>0.3</v>
      </c>
      <c r="AY20" s="2">
        <v>0.5</v>
      </c>
      <c r="AZ20" s="2">
        <v>0.3</v>
      </c>
      <c r="BA20" s="2">
        <v>0.2</v>
      </c>
      <c r="BB20" s="2">
        <v>0.3</v>
      </c>
      <c r="BC20" s="2">
        <f t="shared" si="3"/>
        <v>0.46666666666666673</v>
      </c>
      <c r="BD20" s="2">
        <v>12318.187414136357</v>
      </c>
      <c r="BE20" s="2">
        <v>13160.65071351703</v>
      </c>
      <c r="BF20" s="2">
        <v>13995.682734343496</v>
      </c>
      <c r="BG20" s="2">
        <v>14644.726000997967</v>
      </c>
      <c r="BH20" s="2">
        <v>15340.44319717317</v>
      </c>
      <c r="BI20" s="2">
        <v>16237.168220713922</v>
      </c>
      <c r="BJ20" s="2">
        <v>16462.438805777012</v>
      </c>
      <c r="BK20" s="2">
        <v>16770.426959564029</v>
      </c>
      <c r="BL20" s="2">
        <v>17266.93715218901</v>
      </c>
      <c r="BM20" s="2">
        <v>17768.798957913943</v>
      </c>
      <c r="BN20" s="2">
        <v>18677.327503275537</v>
      </c>
      <c r="BO20" s="2">
        <v>19755.106381778107</v>
      </c>
      <c r="BP20" s="2">
        <v>20952.252970346559</v>
      </c>
      <c r="BQ20" s="2">
        <v>22088.671620812911</v>
      </c>
      <c r="BR20" s="2">
        <v>22477.275820350784</v>
      </c>
      <c r="BS20" s="2">
        <v>23285.188988906928</v>
      </c>
      <c r="BT20" s="2">
        <f t="shared" si="4"/>
        <v>18733.744280989195</v>
      </c>
      <c r="BU20" s="2">
        <v>38594998</v>
      </c>
      <c r="BV20" s="2">
        <v>38624370</v>
      </c>
      <c r="BW20" s="2">
        <v>38649660</v>
      </c>
      <c r="BX20" s="2">
        <v>38663481</v>
      </c>
      <c r="BY20" s="2">
        <v>38660271</v>
      </c>
      <c r="BZ20" s="2">
        <v>38258629</v>
      </c>
      <c r="CA20" s="2">
        <v>38248076</v>
      </c>
      <c r="CB20" s="2">
        <v>38230364</v>
      </c>
      <c r="CC20" s="2">
        <v>38204570</v>
      </c>
      <c r="CD20" s="2">
        <v>38182222</v>
      </c>
      <c r="CE20" s="2">
        <v>38165445</v>
      </c>
      <c r="CF20" s="2">
        <v>38141267</v>
      </c>
      <c r="CG20" s="2">
        <v>38120560</v>
      </c>
      <c r="CH20" s="2">
        <v>38125759</v>
      </c>
      <c r="CI20" s="2">
        <v>38151603</v>
      </c>
      <c r="CJ20" s="2">
        <v>38042794</v>
      </c>
      <c r="CK20" s="2">
        <f t="shared" si="5"/>
        <v>38162978</v>
      </c>
      <c r="CL20" s="9">
        <v>0.318</v>
      </c>
      <c r="CM20" s="9">
        <v>0.318</v>
      </c>
      <c r="CN20" s="9">
        <v>0.313</v>
      </c>
      <c r="CO20" s="2">
        <f>AVERAGE(CL20:CN20)</f>
        <v>0.31633333333333336</v>
      </c>
    </row>
    <row r="21" spans="1:93" s="2" customFormat="1" ht="15.75" x14ac:dyDescent="0.25">
      <c r="A21" s="7" t="s">
        <v>359</v>
      </c>
      <c r="B21" s="3" t="s">
        <v>360</v>
      </c>
      <c r="C21" s="3">
        <v>52623281956.703102</v>
      </c>
      <c r="D21" s="3">
        <v>53872425916.624802</v>
      </c>
      <c r="E21" s="3">
        <v>66627729311.449501</v>
      </c>
      <c r="F21" s="3">
        <v>88250885550.262604</v>
      </c>
      <c r="G21" s="3">
        <v>103905210084.034</v>
      </c>
      <c r="H21" s="3">
        <v>114720129550.095</v>
      </c>
      <c r="I21" s="3">
        <v>111608845081.383</v>
      </c>
      <c r="J21" s="3">
        <v>137320496803.116</v>
      </c>
      <c r="K21" s="3">
        <v>133290222815.77299</v>
      </c>
      <c r="L21" s="3">
        <v>121357986132.8</v>
      </c>
      <c r="M21" s="3">
        <v>146619138358.948</v>
      </c>
      <c r="N21" s="3">
        <v>168510189201.49399</v>
      </c>
      <c r="O21" s="3">
        <f t="shared" si="0"/>
        <v>110078061571.83733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e">
        <f t="shared" si="1"/>
        <v>#DIV/0!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 t="e">
        <f t="shared" si="2"/>
        <v>#DIV/0!</v>
      </c>
      <c r="AP21" s="3" t="s">
        <v>360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 t="e">
        <f t="shared" si="3"/>
        <v>#DIV/0!</v>
      </c>
      <c r="BD21" s="2">
        <v>28966.912740894677</v>
      </c>
      <c r="BE21" s="2">
        <v>29520.312242813736</v>
      </c>
      <c r="BF21" s="2">
        <v>30494.495415791636</v>
      </c>
      <c r="BG21" s="2">
        <v>31677.65069080692</v>
      </c>
      <c r="BH21" s="2">
        <v>32980.093160404191</v>
      </c>
      <c r="BI21" s="2">
        <v>34624.883375095029</v>
      </c>
      <c r="BJ21" s="2">
        <v>35499.615898986718</v>
      </c>
      <c r="BK21" s="2">
        <v>36044.067197501936</v>
      </c>
      <c r="BL21" s="2">
        <v>36566.517124848702</v>
      </c>
      <c r="BM21" s="2">
        <v>37021.882802848551</v>
      </c>
      <c r="BN21" s="2">
        <v>37560.152567263693</v>
      </c>
      <c r="BO21" s="2">
        <v>38263.384054365888</v>
      </c>
      <c r="BP21" s="2">
        <v>38673.461445423389</v>
      </c>
      <c r="BQ21" s="2">
        <v>38275.482272884743</v>
      </c>
      <c r="BR21" s="2">
        <v>36820.738382559197</v>
      </c>
      <c r="BS21" s="2">
        <v>36888.61065460548</v>
      </c>
      <c r="BT21" s="2">
        <f t="shared" si="4"/>
        <v>37615.13980815938</v>
      </c>
      <c r="BU21" s="2">
        <v>39724050</v>
      </c>
      <c r="BV21" s="2">
        <v>39889852</v>
      </c>
      <c r="BW21" s="2">
        <v>40057389</v>
      </c>
      <c r="BX21" s="2">
        <v>40223509</v>
      </c>
      <c r="BY21" s="2">
        <v>40386875</v>
      </c>
      <c r="BZ21" s="2">
        <v>40567864</v>
      </c>
      <c r="CA21" s="2">
        <v>40850412</v>
      </c>
      <c r="CB21" s="2">
        <v>41431558</v>
      </c>
      <c r="CC21" s="2">
        <v>42187645</v>
      </c>
      <c r="CD21" s="2">
        <v>42921895</v>
      </c>
      <c r="CE21" s="2">
        <v>43653155</v>
      </c>
      <c r="CF21" s="2">
        <v>44397319</v>
      </c>
      <c r="CG21" s="2">
        <v>45226803</v>
      </c>
      <c r="CH21" s="2">
        <v>45954106</v>
      </c>
      <c r="CI21" s="2">
        <v>46362946</v>
      </c>
      <c r="CJ21" s="2">
        <v>46576897</v>
      </c>
      <c r="CK21" s="2">
        <f t="shared" si="5"/>
        <v>43657456.333333336</v>
      </c>
      <c r="CL21" s="9">
        <v>0.32100000000000001</v>
      </c>
      <c r="CM21" s="9">
        <v>0.32100000000000001</v>
      </c>
      <c r="CN21" s="9">
        <v>0.307</v>
      </c>
      <c r="CO21" s="2">
        <f>AVERAGE(CL21:CN21)</f>
        <v>0.31633333333333336</v>
      </c>
    </row>
    <row r="22" spans="1:93" s="2" customFormat="1" ht="15.75" x14ac:dyDescent="0.25">
      <c r="A22" s="5" t="s">
        <v>353</v>
      </c>
      <c r="B22" s="2" t="s">
        <v>354</v>
      </c>
      <c r="C22" s="2">
        <v>171247131268.604</v>
      </c>
      <c r="D22" s="2">
        <v>173972218824.02701</v>
      </c>
      <c r="E22" s="2">
        <v>195524186477.617</v>
      </c>
      <c r="F22" s="2">
        <v>228858506821.841</v>
      </c>
      <c r="G22" s="2">
        <v>264511630666.983</v>
      </c>
      <c r="H22" s="2">
        <v>308884284051.22198</v>
      </c>
      <c r="I22" s="2">
        <v>345581369965.53998</v>
      </c>
      <c r="J22" s="2">
        <v>400937100158.65698</v>
      </c>
      <c r="K22" s="2">
        <v>462250000000</v>
      </c>
      <c r="L22" s="2">
        <v>386190385318.76703</v>
      </c>
      <c r="M22" s="2">
        <v>428757038466.841</v>
      </c>
      <c r="N22" s="2">
        <v>498283438454.28101</v>
      </c>
      <c r="O22" s="2">
        <f t="shared" si="0"/>
        <v>306325761561.24829</v>
      </c>
      <c r="P22" s="2">
        <v>27.4</v>
      </c>
      <c r="S22" s="2">
        <v>27.6</v>
      </c>
      <c r="T22" s="2">
        <v>31.6</v>
      </c>
      <c r="U22" s="2">
        <v>30.6</v>
      </c>
      <c r="V22" s="2">
        <v>26.4</v>
      </c>
      <c r="W22" s="2">
        <v>27.1</v>
      </c>
      <c r="X22" s="2">
        <v>27</v>
      </c>
      <c r="Y22" s="2">
        <v>26.2</v>
      </c>
      <c r="Z22" s="2">
        <v>25.7</v>
      </c>
      <c r="AA22" s="2">
        <v>25.3</v>
      </c>
      <c r="AB22" s="2">
        <f t="shared" si="1"/>
        <v>29.533333333333331</v>
      </c>
      <c r="AC22" s="2">
        <v>0.2</v>
      </c>
      <c r="AF22" s="2">
        <v>0.2</v>
      </c>
      <c r="AG22" s="2">
        <v>0.3</v>
      </c>
      <c r="AH22" s="2">
        <v>0.2</v>
      </c>
      <c r="AI22" s="2">
        <v>0.1</v>
      </c>
      <c r="AJ22" s="2">
        <v>0.1</v>
      </c>
      <c r="AK22" s="2">
        <v>0.2</v>
      </c>
      <c r="AL22" s="2">
        <v>0.1</v>
      </c>
      <c r="AM22" s="2">
        <v>0.2</v>
      </c>
      <c r="AN22" s="2">
        <v>0.1</v>
      </c>
      <c r="AO22" s="2">
        <f t="shared" si="2"/>
        <v>0.19999999999999998</v>
      </c>
      <c r="AP22" s="2" t="s">
        <v>354</v>
      </c>
      <c r="AQ22" s="2">
        <v>0.5</v>
      </c>
      <c r="AT22" s="2">
        <v>0.3</v>
      </c>
      <c r="AU22" s="2">
        <v>0.5</v>
      </c>
      <c r="AV22" s="2">
        <v>0.4</v>
      </c>
      <c r="AW22" s="2">
        <v>0.5</v>
      </c>
      <c r="AX22" s="2">
        <v>0.4</v>
      </c>
      <c r="AY22" s="2">
        <v>0.4</v>
      </c>
      <c r="AZ22" s="2">
        <v>0.2</v>
      </c>
      <c r="BA22" s="2">
        <v>0.3</v>
      </c>
      <c r="BB22" s="2">
        <v>0.2</v>
      </c>
      <c r="BC22" s="2">
        <f t="shared" si="3"/>
        <v>0.46666666666666662</v>
      </c>
      <c r="BD22" s="2">
        <v>25799.971304762137</v>
      </c>
      <c r="BE22" s="2">
        <v>26554.131226826656</v>
      </c>
      <c r="BF22" s="2">
        <v>27408.53053921508</v>
      </c>
      <c r="BG22" s="2">
        <v>28537.817429028684</v>
      </c>
      <c r="BH22" s="2">
        <v>29475.14298461</v>
      </c>
      <c r="BI22" s="2">
        <v>30006.779517736471</v>
      </c>
      <c r="BJ22" s="2">
        <v>30345.098440258025</v>
      </c>
      <c r="BK22" s="2">
        <v>30467.71500361439</v>
      </c>
      <c r="BL22" s="2">
        <v>30222.100000516584</v>
      </c>
      <c r="BM22" s="2">
        <v>30612.662314614714</v>
      </c>
      <c r="BN22" s="2">
        <v>30774.081480777426</v>
      </c>
      <c r="BO22" s="2">
        <v>30750.364885407402</v>
      </c>
      <c r="BP22" s="2">
        <v>31447.302635444456</v>
      </c>
      <c r="BQ22" s="2">
        <v>31360.245564735404</v>
      </c>
      <c r="BR22" s="2">
        <v>30334.950655833647</v>
      </c>
      <c r="BS22" s="2">
        <v>30904.537259653182</v>
      </c>
      <c r="BT22" s="2">
        <f t="shared" si="4"/>
        <v>30712.369560266514</v>
      </c>
      <c r="BU22" s="2">
        <v>10026176</v>
      </c>
      <c r="BV22" s="2">
        <v>10063945</v>
      </c>
      <c r="BW22" s="2">
        <v>10108977</v>
      </c>
      <c r="BX22" s="2">
        <v>10160196</v>
      </c>
      <c r="BY22" s="2">
        <v>10217828</v>
      </c>
      <c r="BZ22" s="2">
        <v>10289898</v>
      </c>
      <c r="CA22" s="2">
        <v>10362722</v>
      </c>
      <c r="CB22" s="2">
        <v>10419631</v>
      </c>
      <c r="CC22" s="2">
        <v>10458821</v>
      </c>
      <c r="CD22" s="2">
        <v>10483861</v>
      </c>
      <c r="CE22" s="2">
        <v>10503330</v>
      </c>
      <c r="CF22" s="2">
        <v>10522288</v>
      </c>
      <c r="CG22" s="2">
        <v>10542964</v>
      </c>
      <c r="CH22" s="2">
        <v>10558177</v>
      </c>
      <c r="CI22" s="2">
        <v>10568247</v>
      </c>
      <c r="CJ22" s="2">
        <v>10573100</v>
      </c>
      <c r="CK22" s="2">
        <f t="shared" si="5"/>
        <v>10503159.666666666</v>
      </c>
      <c r="CL22" s="9"/>
      <c r="CM22" s="9"/>
      <c r="CN22" s="9"/>
    </row>
    <row r="23" spans="1:93" s="2" customFormat="1" ht="15.75" x14ac:dyDescent="0.25">
      <c r="A23" s="5" t="s">
        <v>379</v>
      </c>
      <c r="B23" s="2" t="s">
        <v>380</v>
      </c>
      <c r="C23" s="2">
        <v>172219461126.06699</v>
      </c>
      <c r="D23" s="2">
        <v>190905493539.168</v>
      </c>
      <c r="E23" s="2">
        <v>199072058823.52899</v>
      </c>
      <c r="F23" s="2">
        <v>217827260805.84201</v>
      </c>
      <c r="G23" s="2">
        <v>255110181539.80801</v>
      </c>
      <c r="H23" s="2">
        <v>306144336269.51001</v>
      </c>
      <c r="I23" s="2">
        <v>344622003093.58099</v>
      </c>
      <c r="J23" s="2">
        <v>429028505365.078</v>
      </c>
      <c r="K23" s="2">
        <v>533609081852.89697</v>
      </c>
      <c r="L23" s="2">
        <v>439737508413.19202</v>
      </c>
      <c r="M23" s="2">
        <v>479834179020.33002</v>
      </c>
      <c r="N23" s="2">
        <v>528301269069.79901</v>
      </c>
      <c r="O23" s="2">
        <f t="shared" si="0"/>
        <v>301958840300.96631</v>
      </c>
      <c r="T23" s="2">
        <v>38</v>
      </c>
      <c r="U23" s="2">
        <v>35.799999999999997</v>
      </c>
      <c r="V23" s="2">
        <v>34.700000000000003</v>
      </c>
      <c r="W23" s="2">
        <v>34</v>
      </c>
      <c r="X23" s="2">
        <v>33.5</v>
      </c>
      <c r="Y23" s="2">
        <v>33.4</v>
      </c>
      <c r="Z23" s="2">
        <v>33.200000000000003</v>
      </c>
      <c r="AA23" s="2">
        <v>33.200000000000003</v>
      </c>
      <c r="AB23" s="2">
        <f t="shared" si="1"/>
        <v>36.166666666666664</v>
      </c>
      <c r="AG23" s="2">
        <v>2.1</v>
      </c>
      <c r="AH23" s="2">
        <v>0.9</v>
      </c>
      <c r="AI23" s="2">
        <v>0.6</v>
      </c>
      <c r="AJ23" s="2">
        <v>0.4</v>
      </c>
      <c r="AK23" s="2">
        <v>0.2</v>
      </c>
      <c r="AL23" s="2">
        <v>0.3</v>
      </c>
      <c r="AM23" s="2">
        <v>0.3</v>
      </c>
      <c r="AN23" s="2">
        <v>0.3</v>
      </c>
      <c r="AO23" s="2">
        <f t="shared" si="2"/>
        <v>1.2</v>
      </c>
      <c r="AP23" s="2" t="s">
        <v>380</v>
      </c>
      <c r="AU23" s="2">
        <v>12.7</v>
      </c>
      <c r="AV23" s="2">
        <v>9</v>
      </c>
      <c r="AW23" s="2">
        <v>6.5</v>
      </c>
      <c r="AX23" s="2">
        <v>3.9</v>
      </c>
      <c r="AY23" s="2">
        <v>3</v>
      </c>
      <c r="AZ23" s="2">
        <v>3.1</v>
      </c>
      <c r="BA23" s="2">
        <v>2.9</v>
      </c>
      <c r="BB23" s="2">
        <v>2.8</v>
      </c>
      <c r="BC23" s="2">
        <f t="shared" si="3"/>
        <v>9.4</v>
      </c>
      <c r="BD23" s="2">
        <v>33249.561080820473</v>
      </c>
      <c r="BE23" s="2">
        <v>33783.614645366397</v>
      </c>
      <c r="BF23" s="2">
        <v>34833.622770772155</v>
      </c>
      <c r="BG23" s="2">
        <v>36674.27395734709</v>
      </c>
      <c r="BH23" s="2">
        <v>38901.304064502903</v>
      </c>
      <c r="BI23" s="2">
        <v>40782.518532494258</v>
      </c>
      <c r="BJ23" s="2">
        <v>41269.20147606192</v>
      </c>
      <c r="BK23" s="2">
        <v>42127.53019291252</v>
      </c>
      <c r="BL23" s="2">
        <v>43542.873094719114</v>
      </c>
      <c r="BM23" s="2">
        <v>44750.013803242444</v>
      </c>
      <c r="BN23" s="2">
        <v>46205.400536646703</v>
      </c>
      <c r="BO23" s="2">
        <v>48672.8638435416</v>
      </c>
      <c r="BP23" s="2">
        <v>50177.380973629588</v>
      </c>
      <c r="BQ23" s="2">
        <v>49780.901934869384</v>
      </c>
      <c r="BR23" s="2">
        <v>46717.007297628952</v>
      </c>
      <c r="BS23" s="2">
        <v>49252.513643440085</v>
      </c>
      <c r="BT23" s="2">
        <f t="shared" si="4"/>
        <v>46542.759394476918</v>
      </c>
      <c r="BU23" s="2">
        <v>8826939</v>
      </c>
      <c r="BV23" s="2">
        <v>8840998</v>
      </c>
      <c r="BW23" s="2">
        <v>8846062</v>
      </c>
      <c r="BX23" s="2">
        <v>8850974</v>
      </c>
      <c r="BY23" s="2">
        <v>8857874</v>
      </c>
      <c r="BZ23" s="2">
        <v>8872109</v>
      </c>
      <c r="CA23" s="2">
        <v>8895960</v>
      </c>
      <c r="CB23" s="2">
        <v>8924958</v>
      </c>
      <c r="CC23" s="2">
        <v>8958229</v>
      </c>
      <c r="CD23" s="2">
        <v>8993531</v>
      </c>
      <c r="CE23" s="2">
        <v>9029572</v>
      </c>
      <c r="CF23" s="2">
        <v>9080505</v>
      </c>
      <c r="CG23" s="2">
        <v>9148092</v>
      </c>
      <c r="CH23" s="2">
        <v>9219637</v>
      </c>
      <c r="CI23" s="2">
        <v>9298515</v>
      </c>
      <c r="CJ23" s="2">
        <v>9378126</v>
      </c>
      <c r="CK23" s="2">
        <f t="shared" si="5"/>
        <v>9034536</v>
      </c>
      <c r="CL23" s="9">
        <v>0.23699999999999999</v>
      </c>
      <c r="CM23" s="9">
        <v>0.23699999999999999</v>
      </c>
      <c r="CN23" s="9">
        <v>0.23699999999999999</v>
      </c>
      <c r="CO23" s="2">
        <f t="shared" ref="CO23:CO29" si="7">AVERAGE(CL23:CN23)</f>
        <v>0.23699999999999999</v>
      </c>
    </row>
    <row r="24" spans="1:93" s="2" customFormat="1" ht="15.75" x14ac:dyDescent="0.25">
      <c r="A24" s="5" t="s">
        <v>387</v>
      </c>
      <c r="B24" s="2" t="s">
        <v>388</v>
      </c>
      <c r="C24" s="2">
        <v>118310710337.203</v>
      </c>
      <c r="D24" s="2">
        <v>121498889485.459</v>
      </c>
      <c r="E24" s="2">
        <v>134156091661.961</v>
      </c>
      <c r="F24" s="2">
        <v>164862142212.19</v>
      </c>
      <c r="G24" s="2">
        <v>189034502110.75201</v>
      </c>
      <c r="H24" s="2">
        <v>197180330804.62601</v>
      </c>
      <c r="I24" s="2">
        <v>208581694893.991</v>
      </c>
      <c r="J24" s="2">
        <v>240190803449.22</v>
      </c>
      <c r="K24" s="2">
        <v>262344779551.78</v>
      </c>
      <c r="L24" s="2">
        <v>243701635176.43799</v>
      </c>
      <c r="M24" s="2">
        <v>237880908317.65201</v>
      </c>
      <c r="N24" s="2">
        <v>244797226567.10901</v>
      </c>
      <c r="O24" s="2">
        <f t="shared" si="0"/>
        <v>198265509269.78967</v>
      </c>
      <c r="S24" s="2">
        <v>38.700000000000003</v>
      </c>
      <c r="T24" s="2">
        <v>38.9</v>
      </c>
      <c r="U24" s="2">
        <v>38.5</v>
      </c>
      <c r="V24" s="2">
        <v>38.1</v>
      </c>
      <c r="W24" s="2">
        <v>36.799999999999997</v>
      </c>
      <c r="X24" s="2">
        <v>36.6</v>
      </c>
      <c r="Y24" s="2">
        <v>34.9</v>
      </c>
      <c r="Z24" s="2">
        <v>35.799999999999997</v>
      </c>
      <c r="AA24" s="2">
        <v>36.299999999999997</v>
      </c>
      <c r="AB24" s="2">
        <f t="shared" si="1"/>
        <v>38.5</v>
      </c>
      <c r="AF24" s="2">
        <v>0.9</v>
      </c>
      <c r="AG24" s="2">
        <v>0.5</v>
      </c>
      <c r="AH24" s="2">
        <v>0.5</v>
      </c>
      <c r="AI24" s="2">
        <v>0.1</v>
      </c>
      <c r="AJ24" s="2">
        <v>0.3</v>
      </c>
      <c r="AK24" s="2">
        <v>0.1</v>
      </c>
      <c r="AL24" s="2">
        <v>0.2</v>
      </c>
      <c r="AM24" s="2">
        <v>0.1</v>
      </c>
      <c r="AN24" s="2">
        <v>0.5</v>
      </c>
      <c r="AO24" s="2">
        <f t="shared" si="2"/>
        <v>0.3666666666666667</v>
      </c>
      <c r="AP24" s="2" t="s">
        <v>388</v>
      </c>
      <c r="AT24" s="2">
        <v>3.1</v>
      </c>
      <c r="AU24" s="2">
        <v>2.7</v>
      </c>
      <c r="AV24" s="2">
        <v>2.7</v>
      </c>
      <c r="AW24" s="2">
        <v>2</v>
      </c>
      <c r="AX24" s="2">
        <v>1.6</v>
      </c>
      <c r="AY24" s="2">
        <v>2.1</v>
      </c>
      <c r="AZ24" s="2">
        <v>1.5</v>
      </c>
      <c r="BA24" s="2">
        <v>1.9</v>
      </c>
      <c r="BB24" s="2">
        <v>2.6</v>
      </c>
      <c r="BC24" s="2">
        <f t="shared" si="3"/>
        <v>2.4666666666666668</v>
      </c>
      <c r="BT24" s="2" t="e">
        <f t="shared" si="4"/>
        <v>#DIV/0!</v>
      </c>
      <c r="BU24" s="2">
        <v>7040687</v>
      </c>
      <c r="BV24" s="2">
        <v>7071850</v>
      </c>
      <c r="BW24" s="2">
        <v>7088906</v>
      </c>
      <c r="BX24" s="2">
        <v>7110001</v>
      </c>
      <c r="BY24" s="2">
        <v>7143991</v>
      </c>
      <c r="BZ24" s="2">
        <v>7184250</v>
      </c>
      <c r="CA24" s="2">
        <v>7229854</v>
      </c>
      <c r="CB24" s="2">
        <v>7284753</v>
      </c>
      <c r="CC24" s="2">
        <v>7339001</v>
      </c>
      <c r="CD24" s="2">
        <v>7389625</v>
      </c>
      <c r="CE24" s="2">
        <v>7437115</v>
      </c>
      <c r="CF24" s="2">
        <v>7483934</v>
      </c>
      <c r="CG24" s="2">
        <v>7551117</v>
      </c>
      <c r="CH24" s="2">
        <v>7647675</v>
      </c>
      <c r="CI24" s="2">
        <v>7743831</v>
      </c>
      <c r="CJ24" s="2">
        <v>7824909</v>
      </c>
      <c r="CK24" s="2">
        <f t="shared" si="5"/>
        <v>7436891.333333333</v>
      </c>
      <c r="CL24" s="10">
        <v>0.26700000000000002</v>
      </c>
      <c r="CM24" s="10">
        <v>0.3</v>
      </c>
      <c r="CN24" s="10">
        <v>0.3</v>
      </c>
      <c r="CO24" s="3">
        <f t="shared" si="7"/>
        <v>0.28899999999999998</v>
      </c>
    </row>
    <row r="25" spans="1:93" s="3" customFormat="1" ht="15.75" x14ac:dyDescent="0.25">
      <c r="A25" s="5" t="s">
        <v>139</v>
      </c>
      <c r="B25" s="2" t="s">
        <v>140</v>
      </c>
      <c r="C25" s="2">
        <v>596877648793.07202</v>
      </c>
      <c r="D25" s="2">
        <v>627286800894.85498</v>
      </c>
      <c r="E25" s="2">
        <v>705394315829.09802</v>
      </c>
      <c r="F25" s="2">
        <v>905492099322.79895</v>
      </c>
      <c r="G25" s="2">
        <v>1067093369754.16</v>
      </c>
      <c r="H25" s="2">
        <v>1153285660987.4399</v>
      </c>
      <c r="I25" s="2">
        <v>1259343871534.3101</v>
      </c>
      <c r="J25" s="2">
        <v>1472131125102.6599</v>
      </c>
      <c r="K25" s="2">
        <v>1625224842536.99</v>
      </c>
      <c r="L25" s="2">
        <v>1485583495415.3899</v>
      </c>
      <c r="M25" s="2">
        <v>1420722034063</v>
      </c>
      <c r="N25" s="2">
        <v>1478772824224.03</v>
      </c>
      <c r="O25" s="2">
        <f t="shared" si="0"/>
        <v>1159907634091.97</v>
      </c>
      <c r="P25" s="2">
        <v>34.299999999999997</v>
      </c>
      <c r="Q25" s="2"/>
      <c r="R25" s="2"/>
      <c r="S25" s="2">
        <v>31.8</v>
      </c>
      <c r="T25" s="2">
        <v>33.299999999999997</v>
      </c>
      <c r="U25" s="2">
        <v>32.4</v>
      </c>
      <c r="V25" s="2">
        <v>33.5</v>
      </c>
      <c r="W25" s="2">
        <v>34.1</v>
      </c>
      <c r="X25" s="2">
        <v>34.200000000000003</v>
      </c>
      <c r="Y25" s="2">
        <v>34.9</v>
      </c>
      <c r="Z25" s="2">
        <v>35.200000000000003</v>
      </c>
      <c r="AA25" s="2">
        <v>35.700000000000003</v>
      </c>
      <c r="AB25" s="2">
        <f t="shared" si="1"/>
        <v>33.066666666666663</v>
      </c>
      <c r="AC25" s="2">
        <v>0.5</v>
      </c>
      <c r="AD25" s="2"/>
      <c r="AE25" s="2"/>
      <c r="AF25" s="2">
        <v>0.8</v>
      </c>
      <c r="AG25" s="2">
        <v>0.8</v>
      </c>
      <c r="AH25" s="2">
        <v>0.8</v>
      </c>
      <c r="AI25" s="2">
        <v>0.8</v>
      </c>
      <c r="AJ25" s="2">
        <v>0.4</v>
      </c>
      <c r="AK25" s="2">
        <v>0.5</v>
      </c>
      <c r="AL25" s="2">
        <v>0.8</v>
      </c>
      <c r="AM25" s="2">
        <v>0.7</v>
      </c>
      <c r="AN25" s="2">
        <v>1.1000000000000001</v>
      </c>
      <c r="AO25" s="2">
        <f t="shared" si="2"/>
        <v>0.80000000000000016</v>
      </c>
      <c r="AP25" s="2" t="s">
        <v>140</v>
      </c>
      <c r="AQ25" s="2">
        <v>1.5</v>
      </c>
      <c r="AR25" s="2"/>
      <c r="AS25" s="2"/>
      <c r="AT25" s="2">
        <v>2.1</v>
      </c>
      <c r="AU25" s="2">
        <v>2.1</v>
      </c>
      <c r="AV25" s="2">
        <v>2.2999999999999998</v>
      </c>
      <c r="AW25" s="2">
        <v>2.4</v>
      </c>
      <c r="AX25" s="2">
        <v>1.5</v>
      </c>
      <c r="AY25" s="2">
        <v>1.7</v>
      </c>
      <c r="AZ25" s="2">
        <v>2.2999999999999998</v>
      </c>
      <c r="BA25" s="2">
        <v>2.2999999999999998</v>
      </c>
      <c r="BB25" s="2">
        <v>2.8</v>
      </c>
      <c r="BC25" s="2">
        <f t="shared" si="3"/>
        <v>2.2666666666666671</v>
      </c>
      <c r="BD25" s="2">
        <v>35408.801642797516</v>
      </c>
      <c r="BE25" s="2">
        <v>35965.571341643634</v>
      </c>
      <c r="BF25" s="2">
        <v>36807.790492001011</v>
      </c>
      <c r="BG25" s="2">
        <v>38022.485139980949</v>
      </c>
      <c r="BH25" s="2">
        <v>39388.62324222023</v>
      </c>
      <c r="BI25" s="2">
        <v>40485.162979196328</v>
      </c>
      <c r="BJ25" s="2">
        <v>41078.564535524594</v>
      </c>
      <c r="BK25" s="2">
        <v>40939.16942043454</v>
      </c>
      <c r="BL25" s="2">
        <v>41099.812757446474</v>
      </c>
      <c r="BM25" s="2">
        <v>41975.134129339458</v>
      </c>
      <c r="BN25" s="2">
        <v>42486.459596820954</v>
      </c>
      <c r="BO25" s="2">
        <v>43342.62515352833</v>
      </c>
      <c r="BP25" s="2">
        <v>44116.523302715636</v>
      </c>
      <c r="BQ25" s="2">
        <v>44062.616595142157</v>
      </c>
      <c r="BR25" s="2">
        <v>42633.672764098388</v>
      </c>
      <c r="BS25" s="2">
        <v>43253.070686930565</v>
      </c>
      <c r="BT25" s="2">
        <f t="shared" si="4"/>
        <v>42601.406293229578</v>
      </c>
      <c r="BU25" s="2">
        <v>59541899</v>
      </c>
      <c r="BV25" s="2">
        <v>59753100</v>
      </c>
      <c r="BW25" s="2">
        <v>59964851</v>
      </c>
      <c r="BX25" s="2">
        <v>60186288</v>
      </c>
      <c r="BY25" s="2">
        <v>60496718</v>
      </c>
      <c r="BZ25" s="2">
        <v>60912500</v>
      </c>
      <c r="CA25" s="2">
        <v>61357430</v>
      </c>
      <c r="CB25" s="2">
        <v>61805267</v>
      </c>
      <c r="CC25" s="2">
        <v>62244886</v>
      </c>
      <c r="CD25" s="2">
        <v>62704895</v>
      </c>
      <c r="CE25" s="2">
        <v>63179351</v>
      </c>
      <c r="CF25" s="2">
        <v>63621381</v>
      </c>
      <c r="CG25" s="2">
        <v>64016225</v>
      </c>
      <c r="CH25" s="2">
        <v>64374984</v>
      </c>
      <c r="CI25" s="2">
        <v>64707040</v>
      </c>
      <c r="CJ25" s="2">
        <v>65027507</v>
      </c>
      <c r="CK25" s="2">
        <f t="shared" si="5"/>
        <v>63168542.333333336</v>
      </c>
      <c r="CL25" s="9">
        <v>0.28000000000000003</v>
      </c>
      <c r="CM25" s="9">
        <v>0.28000000000000003</v>
      </c>
      <c r="CN25" s="9">
        <v>0.28000000000000003</v>
      </c>
      <c r="CO25" s="2">
        <f t="shared" si="7"/>
        <v>0.28000000000000003</v>
      </c>
    </row>
    <row r="26" spans="1:93" s="2" customFormat="1" ht="15.75" x14ac:dyDescent="0.25">
      <c r="A26" s="5" t="s">
        <v>445</v>
      </c>
      <c r="B26" s="2" t="s">
        <v>446</v>
      </c>
      <c r="C26" s="2">
        <v>262835454366.85501</v>
      </c>
      <c r="D26" s="2">
        <v>242395852494.409</v>
      </c>
      <c r="E26" s="2">
        <v>266849061835.659</v>
      </c>
      <c r="F26" s="2">
        <v>334337212322.07599</v>
      </c>
      <c r="G26" s="2">
        <v>385118044877.46503</v>
      </c>
      <c r="H26" s="2">
        <v>392218088878.77899</v>
      </c>
      <c r="I26" s="2">
        <v>423093437423.76202</v>
      </c>
      <c r="J26" s="2">
        <v>491252589217.021</v>
      </c>
      <c r="K26" s="2">
        <v>517706149201.19598</v>
      </c>
      <c r="L26" s="2">
        <v>436537014293.55402</v>
      </c>
      <c r="M26" s="2">
        <v>495812558843.31</v>
      </c>
      <c r="N26" s="2">
        <v>574094112972.73303</v>
      </c>
      <c r="O26" s="2">
        <f t="shared" si="0"/>
        <v>400143190393.33539</v>
      </c>
      <c r="P26" s="2">
        <v>27.2</v>
      </c>
      <c r="S26" s="2">
        <v>25.3</v>
      </c>
      <c r="T26" s="2">
        <v>26.1</v>
      </c>
      <c r="U26" s="2">
        <v>26.8</v>
      </c>
      <c r="V26" s="2">
        <v>26.4</v>
      </c>
      <c r="W26" s="2">
        <v>27.1</v>
      </c>
      <c r="X26" s="2">
        <v>28.1</v>
      </c>
      <c r="Y26" s="2">
        <v>27.3</v>
      </c>
      <c r="Z26" s="2">
        <v>27.7</v>
      </c>
      <c r="AA26" s="2">
        <v>27.6</v>
      </c>
      <c r="AB26" s="2">
        <f t="shared" si="1"/>
        <v>26.433333333333337</v>
      </c>
      <c r="AC26" s="2">
        <v>0</v>
      </c>
      <c r="AF26" s="2">
        <v>0.3</v>
      </c>
      <c r="AG26" s="2">
        <v>0.4</v>
      </c>
      <c r="AH26" s="2">
        <v>1</v>
      </c>
      <c r="AI26" s="2">
        <v>0.3</v>
      </c>
      <c r="AJ26" s="2">
        <v>0.4</v>
      </c>
      <c r="AK26" s="2">
        <v>0.6</v>
      </c>
      <c r="AL26" s="2">
        <v>0.4</v>
      </c>
      <c r="AM26" s="2">
        <v>0.5</v>
      </c>
      <c r="AN26" s="2">
        <v>0.5</v>
      </c>
      <c r="AO26" s="2">
        <f t="shared" si="2"/>
        <v>0.56666666666666665</v>
      </c>
      <c r="AP26" s="2" t="s">
        <v>446</v>
      </c>
      <c r="AQ26" s="2">
        <v>0.2</v>
      </c>
      <c r="AT26" s="2">
        <v>0.8</v>
      </c>
      <c r="AU26" s="2">
        <v>0.9</v>
      </c>
      <c r="AV26" s="2">
        <v>1.6</v>
      </c>
      <c r="AW26" s="2">
        <v>0.9</v>
      </c>
      <c r="AX26" s="2">
        <v>0.8</v>
      </c>
      <c r="AY26" s="2">
        <v>1</v>
      </c>
      <c r="AZ26" s="2">
        <v>1</v>
      </c>
      <c r="BA26" s="2">
        <v>1.2</v>
      </c>
      <c r="BB26" s="2">
        <v>1.1000000000000001</v>
      </c>
      <c r="BC26" s="2">
        <f t="shared" si="3"/>
        <v>1.1333333333333333</v>
      </c>
      <c r="BD26" s="2">
        <v>32610.372281286731</v>
      </c>
      <c r="BE26" s="2">
        <v>33356.147947106983</v>
      </c>
      <c r="BF26" s="2">
        <v>34598.415054421457</v>
      </c>
      <c r="BG26" s="2">
        <v>35938.051726863341</v>
      </c>
      <c r="BH26" s="2">
        <v>36809.288359809194</v>
      </c>
      <c r="BI26" s="2">
        <v>38200.546428420093</v>
      </c>
      <c r="BJ26" s="2">
        <v>39317.666572796996</v>
      </c>
      <c r="BK26" s="2">
        <v>40287.168227092312</v>
      </c>
      <c r="BL26" s="2">
        <v>41413.245366004972</v>
      </c>
      <c r="BM26" s="2">
        <v>42060.107019804418</v>
      </c>
      <c r="BN26" s="2">
        <v>43231.306185980895</v>
      </c>
      <c r="BO26" s="2">
        <v>43571.290977993332</v>
      </c>
      <c r="BP26" s="2">
        <v>44034.839409794367</v>
      </c>
      <c r="BQ26" s="2">
        <v>43373.985576104009</v>
      </c>
      <c r="BR26" s="2">
        <v>41290.322213104781</v>
      </c>
      <c r="BS26" s="2">
        <v>42104.954260411454</v>
      </c>
      <c r="BT26" s="2">
        <f t="shared" si="4"/>
        <v>42954.23472792621</v>
      </c>
      <c r="BU26" s="2">
        <v>58019030</v>
      </c>
      <c r="BV26" s="2">
        <v>58166950</v>
      </c>
      <c r="BW26" s="2">
        <v>58316954</v>
      </c>
      <c r="BX26" s="2">
        <v>58487141</v>
      </c>
      <c r="BY26" s="2">
        <v>58682466</v>
      </c>
      <c r="BZ26" s="2">
        <v>58892514</v>
      </c>
      <c r="CA26" s="2">
        <v>59119673</v>
      </c>
      <c r="CB26" s="2">
        <v>59370479</v>
      </c>
      <c r="CC26" s="2">
        <v>59647577</v>
      </c>
      <c r="CD26" s="2">
        <v>59987905</v>
      </c>
      <c r="CE26" s="2">
        <v>60401206</v>
      </c>
      <c r="CF26" s="2">
        <v>60846820</v>
      </c>
      <c r="CG26" s="2">
        <v>61322463</v>
      </c>
      <c r="CH26" s="2">
        <v>61806995</v>
      </c>
      <c r="CI26" s="2">
        <v>62276270</v>
      </c>
      <c r="CJ26" s="2">
        <v>62766365</v>
      </c>
      <c r="CK26" s="2">
        <f t="shared" si="5"/>
        <v>60411977</v>
      </c>
      <c r="CL26" s="9">
        <v>0.32600000000000001</v>
      </c>
      <c r="CM26" s="9">
        <v>0.33200000000000002</v>
      </c>
      <c r="CN26" s="9">
        <v>0.33500000000000002</v>
      </c>
      <c r="CO26" s="2">
        <f t="shared" si="7"/>
        <v>0.33100000000000002</v>
      </c>
    </row>
    <row r="27" spans="1:93" s="2" customFormat="1" ht="15.75" x14ac:dyDescent="0.25">
      <c r="A27" s="5" t="s">
        <v>73</v>
      </c>
      <c r="B27" s="2" t="s">
        <v>74</v>
      </c>
      <c r="C27" s="2">
        <v>272055499763.14499</v>
      </c>
      <c r="D27" s="2">
        <v>278631271628.34802</v>
      </c>
      <c r="E27" s="2">
        <v>301416809957.65399</v>
      </c>
      <c r="F27" s="2">
        <v>352914820672.75598</v>
      </c>
      <c r="G27" s="2">
        <v>394163688781.66498</v>
      </c>
      <c r="H27" s="2">
        <v>408689354320.591</v>
      </c>
      <c r="I27" s="2">
        <v>430921192375.17902</v>
      </c>
      <c r="J27" s="2">
        <v>479913033988.66998</v>
      </c>
      <c r="K27" s="2">
        <v>554363487212.63</v>
      </c>
      <c r="L27" s="2">
        <v>541506500321.66199</v>
      </c>
      <c r="M27" s="2">
        <v>583782978345.83398</v>
      </c>
      <c r="N27" s="2">
        <v>699579638413.01099</v>
      </c>
      <c r="O27" s="2">
        <f t="shared" si="0"/>
        <v>411258078492.47833</v>
      </c>
      <c r="P27" s="2">
        <v>33.4</v>
      </c>
      <c r="R27" s="2">
        <v>31.7</v>
      </c>
      <c r="V27" s="2">
        <v>33.9</v>
      </c>
      <c r="W27" s="2">
        <v>34.299999999999997</v>
      </c>
      <c r="X27" s="2">
        <v>33.799999999999997</v>
      </c>
      <c r="Y27" s="2">
        <v>32.9</v>
      </c>
      <c r="Z27" s="2">
        <v>32.6</v>
      </c>
      <c r="AA27" s="2">
        <v>31.7</v>
      </c>
      <c r="AB27" s="2">
        <f t="shared" si="1"/>
        <v>33.9</v>
      </c>
      <c r="AC27" s="2">
        <v>0</v>
      </c>
      <c r="AE27" s="2">
        <v>0</v>
      </c>
      <c r="AI27" s="2">
        <v>0</v>
      </c>
      <c r="AJ27" s="2">
        <v>0</v>
      </c>
      <c r="AK27" s="2">
        <v>0.1</v>
      </c>
      <c r="AL27" s="2">
        <v>0</v>
      </c>
      <c r="AM27" s="2">
        <v>0</v>
      </c>
      <c r="AN27" s="2">
        <v>0</v>
      </c>
      <c r="AO27" s="2">
        <f t="shared" si="2"/>
        <v>0</v>
      </c>
      <c r="AP27" s="2" t="s">
        <v>74</v>
      </c>
      <c r="AQ27" s="2">
        <v>0.2</v>
      </c>
      <c r="AS27" s="2">
        <v>0.2</v>
      </c>
      <c r="AW27" s="2">
        <v>0.3</v>
      </c>
      <c r="AX27" s="2">
        <v>0.3</v>
      </c>
      <c r="AY27" s="2">
        <v>0.3</v>
      </c>
      <c r="AZ27" s="2">
        <v>0.2</v>
      </c>
      <c r="BA27" s="2">
        <v>0.2</v>
      </c>
      <c r="BB27" s="2">
        <v>0</v>
      </c>
      <c r="BC27" s="2">
        <f t="shared" si="3"/>
        <v>0.3</v>
      </c>
      <c r="BD27" s="2">
        <v>42073.908687164403</v>
      </c>
      <c r="BE27" s="2">
        <v>42981.415698534576</v>
      </c>
      <c r="BF27" s="2">
        <v>44264.442583948083</v>
      </c>
      <c r="BG27" s="2">
        <v>45253.995758231038</v>
      </c>
      <c r="BH27" s="2">
        <v>46601.03681157298</v>
      </c>
      <c r="BI27" s="2">
        <v>47612.252149780019</v>
      </c>
      <c r="BJ27" s="2">
        <v>48208.998562342</v>
      </c>
      <c r="BK27" s="2">
        <v>48386.167352692843</v>
      </c>
      <c r="BL27" s="2">
        <v>48606.869077423849</v>
      </c>
      <c r="BM27" s="2">
        <v>50267.003389349695</v>
      </c>
      <c r="BN27" s="2">
        <v>51641.634575282558</v>
      </c>
      <c r="BO27" s="2">
        <v>53693.560269146117</v>
      </c>
      <c r="BP27" s="2">
        <v>53574.081140262577</v>
      </c>
      <c r="BQ27" s="2">
        <v>53306.44840979475</v>
      </c>
      <c r="BR27" s="2">
        <v>50362.952497679871</v>
      </c>
      <c r="BS27" s="2">
        <v>51405.315236230075</v>
      </c>
      <c r="BT27" s="2">
        <f t="shared" si="4"/>
        <v>51867.399411259452</v>
      </c>
      <c r="BU27" s="2">
        <v>5233373</v>
      </c>
      <c r="BV27" s="2">
        <v>5263074</v>
      </c>
      <c r="BW27" s="2">
        <v>5284991</v>
      </c>
      <c r="BX27" s="2">
        <v>5304219</v>
      </c>
      <c r="BY27" s="2">
        <v>5321799</v>
      </c>
      <c r="BZ27" s="2">
        <v>5339616</v>
      </c>
      <c r="CA27" s="2">
        <v>5358783</v>
      </c>
      <c r="CB27" s="2">
        <v>5375931</v>
      </c>
      <c r="CC27" s="2">
        <v>5390574</v>
      </c>
      <c r="CD27" s="2">
        <v>5404523</v>
      </c>
      <c r="CE27" s="2">
        <v>5419432</v>
      </c>
      <c r="CF27" s="2">
        <v>5437272</v>
      </c>
      <c r="CG27" s="2">
        <v>5461438</v>
      </c>
      <c r="CH27" s="2">
        <v>5493621</v>
      </c>
      <c r="CI27" s="2">
        <v>5523095</v>
      </c>
      <c r="CJ27" s="2">
        <v>5547683</v>
      </c>
      <c r="CK27" s="2">
        <f t="shared" si="5"/>
        <v>5420409</v>
      </c>
      <c r="CL27" s="9">
        <v>0.23</v>
      </c>
      <c r="CM27" s="9">
        <v>0.23</v>
      </c>
      <c r="CN27" s="9">
        <v>0.24099999999999999</v>
      </c>
      <c r="CO27" s="2">
        <f t="shared" si="7"/>
        <v>0.23366666666666669</v>
      </c>
    </row>
    <row r="28" spans="1:93" s="2" customFormat="1" ht="15.75" x14ac:dyDescent="0.25">
      <c r="A28" s="5" t="s">
        <v>161</v>
      </c>
      <c r="B28" s="2" t="s">
        <v>162</v>
      </c>
      <c r="C28" s="2">
        <v>1657816613708.5801</v>
      </c>
      <c r="D28" s="2">
        <v>1640246149417.01</v>
      </c>
      <c r="E28" s="2">
        <v>1784473920863.3101</v>
      </c>
      <c r="F28" s="2">
        <v>2053018775510.2</v>
      </c>
      <c r="G28" s="2">
        <v>2416931526913.2202</v>
      </c>
      <c r="H28" s="2">
        <v>2538680000000</v>
      </c>
      <c r="I28" s="2">
        <v>2713749770009.2002</v>
      </c>
      <c r="J28" s="2">
        <v>3100882352941.1802</v>
      </c>
      <c r="K28" s="2">
        <v>2922667279411.7598</v>
      </c>
      <c r="L28" s="2">
        <v>2410909799034.1201</v>
      </c>
      <c r="M28" s="2">
        <v>2475244321361.1099</v>
      </c>
      <c r="N28" s="2">
        <v>2659310054646.23</v>
      </c>
      <c r="O28" s="2">
        <f t="shared" si="0"/>
        <v>2556453765640.8071</v>
      </c>
      <c r="T28" s="2">
        <v>36</v>
      </c>
      <c r="U28" s="2">
        <v>34.299999999999997</v>
      </c>
      <c r="V28" s="2">
        <v>34.6</v>
      </c>
      <c r="W28" s="2">
        <v>35.700000000000003</v>
      </c>
      <c r="X28" s="2">
        <v>34.1</v>
      </c>
      <c r="Y28" s="2">
        <v>34.299999999999997</v>
      </c>
      <c r="Z28" s="2">
        <v>34.4</v>
      </c>
      <c r="AA28" s="2">
        <v>33.200000000000003</v>
      </c>
      <c r="AB28" s="2">
        <f t="shared" si="1"/>
        <v>34.966666666666669</v>
      </c>
      <c r="AG28" s="2">
        <v>0.4</v>
      </c>
      <c r="AH28" s="2">
        <v>0.5</v>
      </c>
      <c r="AI28" s="2">
        <v>0.2</v>
      </c>
      <c r="AJ28" s="2">
        <v>0.3</v>
      </c>
      <c r="AK28" s="2">
        <v>0.3</v>
      </c>
      <c r="AL28" s="2">
        <v>0.2</v>
      </c>
      <c r="AM28" s="2">
        <v>0.1</v>
      </c>
      <c r="AN28" s="2">
        <v>0.4</v>
      </c>
      <c r="AO28" s="2">
        <f t="shared" si="2"/>
        <v>0.3666666666666667</v>
      </c>
      <c r="AP28" s="2" t="s">
        <v>162</v>
      </c>
      <c r="AU28" s="2">
        <v>1.2</v>
      </c>
      <c r="AV28" s="2">
        <v>1.2</v>
      </c>
      <c r="AW28" s="2">
        <v>0.8</v>
      </c>
      <c r="AX28" s="2">
        <v>0.8</v>
      </c>
      <c r="AY28" s="2">
        <v>1</v>
      </c>
      <c r="AZ28" s="2">
        <v>0.6</v>
      </c>
      <c r="BA28" s="2">
        <v>0.7</v>
      </c>
      <c r="BB28" s="2">
        <v>0.7</v>
      </c>
      <c r="BC28" s="2">
        <f t="shared" si="3"/>
        <v>1.0666666666666667</v>
      </c>
      <c r="BT28" s="2" t="e">
        <f t="shared" si="4"/>
        <v>#DIV/0!</v>
      </c>
      <c r="BU28" s="2">
        <v>267468</v>
      </c>
      <c r="BV28" s="2">
        <v>268916</v>
      </c>
      <c r="BW28" s="2">
        <v>271128</v>
      </c>
      <c r="BX28" s="2">
        <v>274047</v>
      </c>
      <c r="BY28" s="2">
        <v>277381</v>
      </c>
      <c r="BZ28" s="2">
        <v>281205</v>
      </c>
      <c r="CA28" s="2">
        <v>284968</v>
      </c>
      <c r="CB28" s="2">
        <v>287523</v>
      </c>
      <c r="CC28" s="2">
        <v>289521</v>
      </c>
      <c r="CD28" s="2">
        <v>292074</v>
      </c>
      <c r="CE28" s="2">
        <v>296734</v>
      </c>
      <c r="CF28" s="2">
        <v>303782</v>
      </c>
      <c r="CG28" s="2">
        <v>311566</v>
      </c>
      <c r="CH28" s="2">
        <v>317414</v>
      </c>
      <c r="CI28" s="2">
        <v>318499</v>
      </c>
      <c r="CJ28" s="2">
        <v>318041</v>
      </c>
      <c r="CK28" s="2">
        <f t="shared" si="5"/>
        <v>297530</v>
      </c>
      <c r="CL28" s="10">
        <v>0.25600000000000001</v>
      </c>
      <c r="CM28" s="10">
        <v>0.25600000000000001</v>
      </c>
      <c r="CN28" s="10">
        <v>0.28000000000000003</v>
      </c>
      <c r="CO28" s="3">
        <f t="shared" si="7"/>
        <v>0.26400000000000001</v>
      </c>
    </row>
    <row r="29" spans="1:93" s="2" customFormat="1" ht="15.75" x14ac:dyDescent="0.25">
      <c r="A29" s="5" t="s">
        <v>502</v>
      </c>
      <c r="B29" s="2" t="s">
        <v>502</v>
      </c>
      <c r="C29" s="2">
        <v>10252345464000</v>
      </c>
      <c r="D29" s="2">
        <v>10581821399000</v>
      </c>
      <c r="E29" s="2">
        <v>10936419054000</v>
      </c>
      <c r="F29" s="2">
        <v>11458243878000</v>
      </c>
      <c r="G29" s="2">
        <v>12213729147000</v>
      </c>
      <c r="H29" s="2">
        <v>13036640230000</v>
      </c>
      <c r="I29" s="2">
        <v>13814611414000</v>
      </c>
      <c r="J29" s="2">
        <v>14451858656000</v>
      </c>
      <c r="K29" s="2">
        <v>14712844084000</v>
      </c>
      <c r="L29" s="2">
        <v>14448933025000</v>
      </c>
      <c r="M29" s="2">
        <v>14992052727000</v>
      </c>
      <c r="N29" s="2">
        <v>15542581104000</v>
      </c>
      <c r="O29" s="2">
        <f t="shared" si="0"/>
        <v>13021660263666.666</v>
      </c>
      <c r="P29" s="2">
        <v>40.1</v>
      </c>
      <c r="T29" s="2">
        <v>40.299999999999997</v>
      </c>
      <c r="W29" s="2">
        <v>40.799999999999997</v>
      </c>
      <c r="Z29" s="2">
        <v>40</v>
      </c>
      <c r="AB29" s="2">
        <f t="shared" si="1"/>
        <v>40.299999999999997</v>
      </c>
      <c r="AC29" s="2">
        <v>0.7</v>
      </c>
      <c r="AG29" s="2">
        <v>1</v>
      </c>
      <c r="AJ29" s="2">
        <v>1</v>
      </c>
      <c r="AM29" s="2">
        <v>1</v>
      </c>
      <c r="AO29" s="2">
        <f t="shared" si="2"/>
        <v>1</v>
      </c>
      <c r="AP29" s="2" t="s">
        <v>502</v>
      </c>
      <c r="AQ29" s="2">
        <v>1.2</v>
      </c>
      <c r="AU29" s="2">
        <v>1.7</v>
      </c>
      <c r="AX29" s="2">
        <v>1.5</v>
      </c>
      <c r="BA29" s="2">
        <v>1.7</v>
      </c>
      <c r="BC29" s="2">
        <f t="shared" si="3"/>
        <v>1.7</v>
      </c>
      <c r="BD29" s="2">
        <v>43335.502893921737</v>
      </c>
      <c r="BE29" s="2">
        <v>44457.374357075532</v>
      </c>
      <c r="BF29" s="2">
        <v>45828.723217578685</v>
      </c>
      <c r="BG29" s="2">
        <v>47290.597057634623</v>
      </c>
      <c r="BH29" s="2">
        <v>49008.17093827128</v>
      </c>
      <c r="BI29" s="2">
        <v>50503.988385375815</v>
      </c>
      <c r="BJ29" s="2">
        <v>50566.301400009506</v>
      </c>
      <c r="BK29" s="2">
        <v>50948.520423831513</v>
      </c>
      <c r="BL29" s="2">
        <v>52006.669867117875</v>
      </c>
      <c r="BM29" s="2">
        <v>53553.606408634347</v>
      </c>
      <c r="BN29" s="2">
        <v>54902.373845626462</v>
      </c>
      <c r="BO29" s="2">
        <v>55799.581745183328</v>
      </c>
      <c r="BP29" s="2">
        <v>56524.509910826986</v>
      </c>
      <c r="BQ29" s="2">
        <v>56073.690011492188</v>
      </c>
      <c r="BR29" s="2">
        <v>54144.474582599796</v>
      </c>
      <c r="BS29" s="2">
        <v>55247.602325694315</v>
      </c>
      <c r="BT29" s="2">
        <f t="shared" si="4"/>
        <v>54751.853999814717</v>
      </c>
      <c r="BU29" s="2">
        <v>266278000</v>
      </c>
      <c r="BV29" s="2">
        <v>269394000</v>
      </c>
      <c r="BW29" s="2">
        <v>272657000</v>
      </c>
      <c r="BX29" s="2">
        <v>275854000</v>
      </c>
      <c r="BY29" s="2">
        <v>279040000</v>
      </c>
      <c r="BZ29" s="2">
        <v>282162411</v>
      </c>
      <c r="CA29" s="2">
        <v>284968955</v>
      </c>
      <c r="CB29" s="2">
        <v>287625193</v>
      </c>
      <c r="CC29" s="2">
        <v>290107933</v>
      </c>
      <c r="CD29" s="2">
        <v>292805298</v>
      </c>
      <c r="CE29" s="2">
        <v>295516599</v>
      </c>
      <c r="CF29" s="2">
        <v>298379912</v>
      </c>
      <c r="CG29" s="2">
        <v>301231207</v>
      </c>
      <c r="CH29" s="2">
        <v>304093966</v>
      </c>
      <c r="CI29" s="2">
        <v>306771529</v>
      </c>
      <c r="CJ29" s="2">
        <v>309321666</v>
      </c>
      <c r="CK29" s="2">
        <f t="shared" si="5"/>
        <v>295567269.66666669</v>
      </c>
      <c r="CL29" s="9">
        <v>0.374</v>
      </c>
      <c r="CM29" s="9">
        <v>0.38400000000000001</v>
      </c>
      <c r="CN29" s="9">
        <v>0.38900000000000001</v>
      </c>
      <c r="CO29" s="2">
        <f t="shared" si="7"/>
        <v>0.38233333333333336</v>
      </c>
    </row>
    <row r="30" spans="1:93" x14ac:dyDescent="0.25">
      <c r="A30" s="4"/>
    </row>
    <row r="31" spans="1:93" x14ac:dyDescent="0.25">
      <c r="A31" s="4"/>
    </row>
    <row r="32" spans="1:93" x14ac:dyDescent="0.25">
      <c r="A32" s="4"/>
    </row>
    <row r="35" spans="90:93" x14ac:dyDescent="0.25">
      <c r="CL35" s="3"/>
      <c r="CM35" s="3"/>
      <c r="CN35" s="3"/>
      <c r="CO35" s="3"/>
    </row>
  </sheetData>
  <sortState xmlns:xlrd2="http://schemas.microsoft.com/office/spreadsheetml/2017/richdata2" ref="A2:CO29">
    <sortCondition ref="A2:A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1A81-4202-4D85-93F2-282CA15B4999}">
  <dimension ref="A1:AY32"/>
  <sheetViews>
    <sheetView workbookViewId="0">
      <selection activeCell="C27" sqref="C27"/>
    </sheetView>
  </sheetViews>
  <sheetFormatPr defaultRowHeight="15" x14ac:dyDescent="0.25"/>
  <cols>
    <col min="1" max="1" width="14.7109375" customWidth="1"/>
    <col min="3" max="14" width="12.140625" bestFit="1" customWidth="1"/>
  </cols>
  <sheetData>
    <row r="1" spans="1:51" x14ac:dyDescent="0.25">
      <c r="A1" s="4" t="s">
        <v>0</v>
      </c>
      <c r="B1" s="4" t="s">
        <v>1</v>
      </c>
      <c r="C1" s="4" t="s">
        <v>571</v>
      </c>
      <c r="D1" s="4" t="s">
        <v>572</v>
      </c>
      <c r="E1" s="4" t="s">
        <v>573</v>
      </c>
      <c r="F1" s="4" t="s">
        <v>574</v>
      </c>
      <c r="G1" s="4" t="s">
        <v>575</v>
      </c>
      <c r="H1" s="4" t="s">
        <v>576</v>
      </c>
      <c r="I1" s="4" t="s">
        <v>577</v>
      </c>
      <c r="J1" s="4" t="s">
        <v>578</v>
      </c>
      <c r="K1" s="4" t="s">
        <v>579</v>
      </c>
      <c r="L1" s="4" t="s">
        <v>580</v>
      </c>
      <c r="M1" s="4" t="s">
        <v>581</v>
      </c>
      <c r="N1" s="4" t="s">
        <v>582</v>
      </c>
      <c r="O1" s="4" t="s">
        <v>535</v>
      </c>
      <c r="P1" s="4" t="s">
        <v>536</v>
      </c>
      <c r="Q1" s="4" t="s">
        <v>537</v>
      </c>
      <c r="R1" s="4" t="s">
        <v>538</v>
      </c>
      <c r="S1" s="4" t="s">
        <v>539</v>
      </c>
      <c r="T1" s="4" t="s">
        <v>540</v>
      </c>
      <c r="U1" s="4" t="s">
        <v>541</v>
      </c>
      <c r="V1" s="4" t="s">
        <v>542</v>
      </c>
      <c r="W1" s="4" t="s">
        <v>543</v>
      </c>
      <c r="X1" s="4" t="s">
        <v>544</v>
      </c>
      <c r="Y1" s="4" t="s">
        <v>545</v>
      </c>
      <c r="Z1" s="4" t="s">
        <v>546</v>
      </c>
      <c r="AA1" s="4" t="s">
        <v>559</v>
      </c>
      <c r="AB1" s="4" t="s">
        <v>560</v>
      </c>
      <c r="AC1" s="4" t="s">
        <v>561</v>
      </c>
      <c r="AD1" s="4" t="s">
        <v>562</v>
      </c>
      <c r="AE1" s="4" t="s">
        <v>563</v>
      </c>
      <c r="AF1" s="4" t="s">
        <v>564</v>
      </c>
      <c r="AG1" s="4" t="s">
        <v>565</v>
      </c>
      <c r="AH1" s="4" t="s">
        <v>566</v>
      </c>
      <c r="AI1" s="4" t="s">
        <v>567</v>
      </c>
      <c r="AJ1" s="4" t="s">
        <v>568</v>
      </c>
      <c r="AK1" s="4" t="s">
        <v>569</v>
      </c>
      <c r="AL1" s="4" t="s">
        <v>570</v>
      </c>
      <c r="AM1" s="4" t="s">
        <v>1</v>
      </c>
      <c r="AN1" s="4" t="s">
        <v>547</v>
      </c>
      <c r="AO1" s="4" t="s">
        <v>548</v>
      </c>
      <c r="AP1" s="4" t="s">
        <v>549</v>
      </c>
      <c r="AQ1" s="4" t="s">
        <v>550</v>
      </c>
      <c r="AR1" s="4" t="s">
        <v>551</v>
      </c>
      <c r="AS1" s="4" t="s">
        <v>552</v>
      </c>
      <c r="AT1" s="4" t="s">
        <v>553</v>
      </c>
      <c r="AU1" s="4" t="s">
        <v>554</v>
      </c>
      <c r="AV1" s="4" t="s">
        <v>555</v>
      </c>
      <c r="AW1" s="4" t="s">
        <v>556</v>
      </c>
      <c r="AX1" s="4" t="s">
        <v>557</v>
      </c>
      <c r="AY1" s="4" t="s">
        <v>558</v>
      </c>
    </row>
    <row r="2" spans="1:51" s="2" customFormat="1" x14ac:dyDescent="0.25">
      <c r="A2" s="5" t="s">
        <v>17</v>
      </c>
      <c r="B2" s="2" t="s">
        <v>18</v>
      </c>
      <c r="C2" s="2">
        <v>284203750000</v>
      </c>
      <c r="D2" s="2">
        <v>268696750000</v>
      </c>
      <c r="E2" s="2">
        <v>97724004251.860199</v>
      </c>
      <c r="F2" s="2">
        <v>127586973492.177</v>
      </c>
      <c r="G2" s="2">
        <v>164657930452.78699</v>
      </c>
      <c r="H2" s="2">
        <v>198737095012.28201</v>
      </c>
      <c r="I2" s="2">
        <v>232557260817.30801</v>
      </c>
      <c r="J2" s="2">
        <v>287530508430.56799</v>
      </c>
      <c r="K2" s="2">
        <v>361558037110.41901</v>
      </c>
      <c r="L2" s="2">
        <v>332976484577.61902</v>
      </c>
      <c r="M2" s="2">
        <v>423627422092.48999</v>
      </c>
      <c r="N2" s="2">
        <v>530163281574.65802</v>
      </c>
      <c r="O2" s="1">
        <v>51.1</v>
      </c>
      <c r="P2" s="1">
        <v>53.3</v>
      </c>
      <c r="Q2" s="1">
        <v>53.8</v>
      </c>
      <c r="R2" s="1">
        <v>51.2</v>
      </c>
      <c r="S2" s="1">
        <v>48.6</v>
      </c>
      <c r="T2" s="1">
        <v>48</v>
      </c>
      <c r="U2" s="1">
        <v>46.7</v>
      </c>
      <c r="V2" s="1">
        <v>46.6</v>
      </c>
      <c r="W2" s="1">
        <v>45.3</v>
      </c>
      <c r="X2" s="1">
        <v>44.1</v>
      </c>
      <c r="Y2" s="1">
        <v>44.5</v>
      </c>
      <c r="Z2" s="1">
        <v>42.7</v>
      </c>
      <c r="AA2" s="2">
        <v>6.8</v>
      </c>
      <c r="AB2" s="2">
        <v>10.7</v>
      </c>
      <c r="AC2" s="2">
        <v>16.899999999999999</v>
      </c>
      <c r="AD2" s="2">
        <v>8.4</v>
      </c>
      <c r="AE2" s="2">
        <v>6.4</v>
      </c>
      <c r="AF2" s="2">
        <v>4.8</v>
      </c>
      <c r="AG2" s="2">
        <v>3.9</v>
      </c>
      <c r="AH2" s="2">
        <v>3.3</v>
      </c>
      <c r="AI2" s="2">
        <v>3.3</v>
      </c>
      <c r="AJ2" s="2">
        <v>3</v>
      </c>
      <c r="AK2" s="2">
        <v>2.8</v>
      </c>
      <c r="AL2" s="2">
        <v>1.1000000000000001</v>
      </c>
      <c r="AM2" s="2" t="s">
        <v>18</v>
      </c>
      <c r="AN2" s="2">
        <v>31.5</v>
      </c>
      <c r="AO2" s="2">
        <v>36.9</v>
      </c>
      <c r="AP2" s="2">
        <v>49.9</v>
      </c>
      <c r="AQ2" s="2">
        <v>34.200000000000003</v>
      </c>
      <c r="AR2" s="2">
        <v>29.4</v>
      </c>
      <c r="AS2" s="2">
        <v>25.5</v>
      </c>
      <c r="AT2" s="2">
        <v>20.9</v>
      </c>
      <c r="AU2" s="2">
        <v>19.8</v>
      </c>
      <c r="AV2" s="2">
        <v>17.7</v>
      </c>
      <c r="AW2" s="2">
        <v>16.2</v>
      </c>
      <c r="AX2" s="2">
        <v>15.3</v>
      </c>
      <c r="AY2" s="2">
        <v>11.5</v>
      </c>
    </row>
    <row r="3" spans="1:51" s="2" customFormat="1" x14ac:dyDescent="0.25">
      <c r="A3" s="5" t="s">
        <v>27</v>
      </c>
      <c r="B3" s="2" t="s">
        <v>28</v>
      </c>
      <c r="C3" s="2">
        <v>196799778883.36099</v>
      </c>
      <c r="D3" s="2">
        <v>197337879194.63101</v>
      </c>
      <c r="E3" s="2">
        <v>213377771503.858</v>
      </c>
      <c r="F3" s="2">
        <v>261695778781.03799</v>
      </c>
      <c r="G3" s="2">
        <v>300904221504.84198</v>
      </c>
      <c r="H3" s="2">
        <v>315974418604.651</v>
      </c>
      <c r="I3" s="2">
        <v>335998557270.104</v>
      </c>
      <c r="J3" s="2">
        <v>388691445387.35303</v>
      </c>
      <c r="K3" s="2">
        <v>430294287388.31097</v>
      </c>
      <c r="L3" s="2">
        <v>400172297860.51703</v>
      </c>
      <c r="M3" s="2">
        <v>391892746544.69</v>
      </c>
      <c r="N3" s="2">
        <v>431120310088.82001</v>
      </c>
      <c r="O3" s="2">
        <v>28.8</v>
      </c>
      <c r="R3" s="2">
        <v>29.5</v>
      </c>
      <c r="S3" s="2">
        <v>29.8</v>
      </c>
      <c r="T3" s="2">
        <v>28.7</v>
      </c>
      <c r="U3" s="2">
        <v>29.6</v>
      </c>
      <c r="V3" s="2">
        <v>30.6</v>
      </c>
      <c r="W3" s="2">
        <v>30.4</v>
      </c>
      <c r="X3" s="2">
        <v>31.5</v>
      </c>
      <c r="Y3" s="2">
        <v>30.3</v>
      </c>
      <c r="Z3" s="2">
        <v>30.8</v>
      </c>
      <c r="AA3" s="2">
        <v>0.2</v>
      </c>
      <c r="AD3" s="2">
        <v>0.3</v>
      </c>
      <c r="AE3" s="2">
        <v>0.1</v>
      </c>
      <c r="AF3" s="2">
        <v>0.2</v>
      </c>
      <c r="AG3" s="2">
        <v>0.1</v>
      </c>
      <c r="AH3" s="2">
        <v>0.4</v>
      </c>
      <c r="AI3" s="2">
        <v>0.5</v>
      </c>
      <c r="AJ3" s="2">
        <v>0.7</v>
      </c>
      <c r="AK3" s="2">
        <v>0.5</v>
      </c>
      <c r="AL3" s="2">
        <v>0.4</v>
      </c>
      <c r="AM3" s="2" t="s">
        <v>28</v>
      </c>
      <c r="AN3" s="2">
        <v>0.2</v>
      </c>
      <c r="AQ3" s="2">
        <v>0.6</v>
      </c>
      <c r="AR3" s="2">
        <v>0.3</v>
      </c>
      <c r="AS3" s="2">
        <v>0.4</v>
      </c>
      <c r="AT3" s="2">
        <v>0.4</v>
      </c>
      <c r="AU3" s="2">
        <v>0.7</v>
      </c>
      <c r="AV3" s="2">
        <v>0.9</v>
      </c>
      <c r="AW3" s="2">
        <v>1</v>
      </c>
      <c r="AX3" s="2">
        <v>0.8</v>
      </c>
      <c r="AY3" s="2">
        <v>1</v>
      </c>
    </row>
    <row r="4" spans="1:51" s="2" customFormat="1" x14ac:dyDescent="0.25">
      <c r="A4" s="5" t="s">
        <v>33</v>
      </c>
      <c r="B4" s="2" t="s">
        <v>34</v>
      </c>
      <c r="C4" s="2">
        <v>236204532891.10001</v>
      </c>
      <c r="D4" s="2">
        <v>236541297539.14999</v>
      </c>
      <c r="E4" s="2">
        <v>257157820440.42899</v>
      </c>
      <c r="F4" s="2">
        <v>317381715575.62097</v>
      </c>
      <c r="G4" s="2">
        <v>368537000248.32397</v>
      </c>
      <c r="H4" s="2">
        <v>385570948886.95398</v>
      </c>
      <c r="I4" s="2">
        <v>407918078032.86902</v>
      </c>
      <c r="J4" s="2">
        <v>470324254037.77698</v>
      </c>
      <c r="K4" s="2">
        <v>515223524241.97998</v>
      </c>
      <c r="L4" s="2">
        <v>481345929424.84003</v>
      </c>
      <c r="M4" s="2">
        <v>480951629493.03302</v>
      </c>
      <c r="N4" s="2">
        <v>522645519183.591</v>
      </c>
      <c r="O4" s="2">
        <v>33.1</v>
      </c>
      <c r="R4" s="2">
        <v>28.1</v>
      </c>
      <c r="S4" s="2">
        <v>30.5</v>
      </c>
      <c r="T4" s="2">
        <v>29.3</v>
      </c>
      <c r="U4" s="2">
        <v>28.1</v>
      </c>
      <c r="V4" s="2">
        <v>29.2</v>
      </c>
      <c r="W4" s="2">
        <v>28.4</v>
      </c>
      <c r="X4" s="2">
        <v>28.6</v>
      </c>
      <c r="Y4" s="2">
        <v>28.4</v>
      </c>
      <c r="Z4" s="2">
        <v>28.1</v>
      </c>
      <c r="AA4" s="2">
        <v>0.3</v>
      </c>
      <c r="AD4" s="2">
        <v>0.3</v>
      </c>
      <c r="AE4" s="2">
        <v>0.1</v>
      </c>
      <c r="AF4" s="2">
        <v>0.2</v>
      </c>
      <c r="AG4" s="2">
        <v>0.2</v>
      </c>
      <c r="AH4" s="2">
        <v>0.2</v>
      </c>
      <c r="AI4" s="2">
        <v>0.1</v>
      </c>
      <c r="AJ4" s="2">
        <v>0.1</v>
      </c>
      <c r="AK4" s="2">
        <v>0.1</v>
      </c>
      <c r="AL4" s="2">
        <v>0.2</v>
      </c>
      <c r="AM4" s="2" t="s">
        <v>34</v>
      </c>
      <c r="AN4" s="2">
        <v>0.7</v>
      </c>
      <c r="AQ4" s="2">
        <v>0.7</v>
      </c>
      <c r="AR4" s="2">
        <v>0.2</v>
      </c>
      <c r="AS4" s="2">
        <v>0.5</v>
      </c>
      <c r="AT4" s="2">
        <v>0.4</v>
      </c>
      <c r="AU4" s="2">
        <v>0.3</v>
      </c>
      <c r="AV4" s="2">
        <v>0.3</v>
      </c>
      <c r="AW4" s="2">
        <v>0.3</v>
      </c>
      <c r="AX4" s="2">
        <v>0.4</v>
      </c>
      <c r="AY4" s="2">
        <v>0.5</v>
      </c>
    </row>
    <row r="5" spans="1:51" s="2" customFormat="1" x14ac:dyDescent="0.25">
      <c r="A5" s="5" t="s">
        <v>41</v>
      </c>
      <c r="B5" s="2" t="s">
        <v>42</v>
      </c>
      <c r="C5" s="2">
        <v>13245833843.545401</v>
      </c>
      <c r="D5" s="2">
        <v>14183497963.1071</v>
      </c>
      <c r="E5" s="2">
        <v>16402846413.0958</v>
      </c>
      <c r="F5" s="2">
        <v>21144983551.682301</v>
      </c>
      <c r="G5" s="2">
        <v>26157894736.842098</v>
      </c>
      <c r="H5" s="2">
        <v>29869283400.038101</v>
      </c>
      <c r="I5" s="2">
        <v>34379808888.603897</v>
      </c>
      <c r="J5" s="2">
        <v>44405101469.559097</v>
      </c>
      <c r="K5" s="2">
        <v>54438966419.863899</v>
      </c>
      <c r="L5" s="2">
        <v>52023504656.287804</v>
      </c>
      <c r="M5" s="2">
        <v>50381825504.264198</v>
      </c>
      <c r="N5" s="2">
        <v>57386216850.3377</v>
      </c>
      <c r="U5" s="2">
        <v>35.700000000000003</v>
      </c>
      <c r="V5" s="2">
        <v>36.1</v>
      </c>
      <c r="W5" s="2">
        <v>33.6</v>
      </c>
      <c r="X5" s="2">
        <v>33.799999999999997</v>
      </c>
      <c r="Y5" s="2">
        <v>35.700000000000003</v>
      </c>
      <c r="Z5" s="2">
        <v>34.299999999999997</v>
      </c>
      <c r="AG5" s="2">
        <v>5.6</v>
      </c>
      <c r="AH5" s="2">
        <v>1.8</v>
      </c>
      <c r="AI5" s="2">
        <v>1.2</v>
      </c>
      <c r="AJ5" s="2">
        <v>1.3</v>
      </c>
      <c r="AK5" s="2">
        <v>2</v>
      </c>
      <c r="AL5" s="2">
        <v>2.4</v>
      </c>
      <c r="AM5" s="2" t="s">
        <v>42</v>
      </c>
      <c r="AT5" s="2">
        <v>24</v>
      </c>
      <c r="AU5" s="2">
        <v>12.2</v>
      </c>
      <c r="AV5" s="2">
        <v>9.1</v>
      </c>
      <c r="AW5" s="2">
        <v>9</v>
      </c>
      <c r="AX5" s="2">
        <v>11.4</v>
      </c>
      <c r="AY5" s="2">
        <v>11.9</v>
      </c>
    </row>
    <row r="6" spans="1:51" s="2" customFormat="1" x14ac:dyDescent="0.25">
      <c r="A6" s="5" t="s">
        <v>69</v>
      </c>
      <c r="B6" s="2" t="s">
        <v>70</v>
      </c>
      <c r="C6" s="2">
        <v>742295468318.63196</v>
      </c>
      <c r="D6" s="2">
        <v>736379777892.56201</v>
      </c>
      <c r="E6" s="2">
        <v>757950678646.53003</v>
      </c>
      <c r="F6" s="2">
        <v>892382413817.71497</v>
      </c>
      <c r="G6" s="2">
        <v>1023196771714.0699</v>
      </c>
      <c r="H6" s="2">
        <v>1169357979864.6599</v>
      </c>
      <c r="I6" s="2">
        <v>1315415197461.21</v>
      </c>
      <c r="J6" s="2">
        <v>1464977190205.75</v>
      </c>
      <c r="K6" s="2">
        <v>1549131208997.1899</v>
      </c>
      <c r="L6" s="2">
        <v>1371153004986.4399</v>
      </c>
      <c r="M6" s="2">
        <v>1613464422811.1299</v>
      </c>
      <c r="N6" s="2">
        <v>1788647906047.76</v>
      </c>
      <c r="O6" s="2">
        <v>33.299999999999997</v>
      </c>
      <c r="S6" s="2">
        <v>33.700000000000003</v>
      </c>
      <c r="V6" s="2">
        <v>33.799999999999997</v>
      </c>
      <c r="Y6" s="2">
        <v>33.6</v>
      </c>
      <c r="AA6" s="2">
        <v>0.2</v>
      </c>
      <c r="AE6" s="2">
        <v>0.2</v>
      </c>
      <c r="AH6" s="2">
        <v>0.2</v>
      </c>
      <c r="AK6" s="2">
        <v>0.2</v>
      </c>
      <c r="AM6" s="2" t="s">
        <v>70</v>
      </c>
      <c r="AN6" s="2">
        <v>0.7</v>
      </c>
      <c r="AR6" s="2">
        <v>0.7</v>
      </c>
      <c r="AU6" s="2">
        <v>0.5</v>
      </c>
      <c r="AX6" s="2">
        <v>0.5</v>
      </c>
    </row>
    <row r="7" spans="1:51" s="2" customFormat="1" x14ac:dyDescent="0.25">
      <c r="A7" s="5" t="s">
        <v>73</v>
      </c>
      <c r="B7" s="2" t="s">
        <v>74</v>
      </c>
      <c r="C7" s="2">
        <v>272055499763.14499</v>
      </c>
      <c r="D7" s="2">
        <v>278631271628.34802</v>
      </c>
      <c r="E7" s="2">
        <v>301416809957.65399</v>
      </c>
      <c r="F7" s="2">
        <v>352914820672.75598</v>
      </c>
      <c r="G7" s="2">
        <v>394163688781.66498</v>
      </c>
      <c r="H7" s="2">
        <v>408689354320.591</v>
      </c>
      <c r="I7" s="2">
        <v>430921192375.17902</v>
      </c>
      <c r="J7" s="2">
        <v>479913033988.66998</v>
      </c>
      <c r="K7" s="2">
        <v>554363487212.63</v>
      </c>
      <c r="L7" s="2">
        <v>541506500321.66199</v>
      </c>
      <c r="M7" s="2">
        <v>583782978345.83398</v>
      </c>
      <c r="N7" s="2">
        <v>699579638413.01099</v>
      </c>
      <c r="O7" s="2">
        <v>33.4</v>
      </c>
      <c r="Q7" s="2">
        <v>31.7</v>
      </c>
      <c r="U7" s="2">
        <v>33.9</v>
      </c>
      <c r="V7" s="2">
        <v>34.299999999999997</v>
      </c>
      <c r="W7" s="2">
        <v>33.799999999999997</v>
      </c>
      <c r="X7" s="2">
        <v>32.9</v>
      </c>
      <c r="Y7" s="2">
        <v>32.6</v>
      </c>
      <c r="Z7" s="2">
        <v>31.7</v>
      </c>
      <c r="AA7" s="2">
        <v>0</v>
      </c>
      <c r="AC7" s="2">
        <v>0</v>
      </c>
      <c r="AG7" s="2">
        <v>0</v>
      </c>
      <c r="AH7" s="2">
        <v>0</v>
      </c>
      <c r="AI7" s="2">
        <v>0.1</v>
      </c>
      <c r="AJ7" s="2">
        <v>0</v>
      </c>
      <c r="AK7" s="2">
        <v>0</v>
      </c>
      <c r="AL7" s="2">
        <v>0</v>
      </c>
      <c r="AM7" s="2" t="s">
        <v>74</v>
      </c>
      <c r="AN7" s="2">
        <v>0.2</v>
      </c>
      <c r="AP7" s="2">
        <v>0.2</v>
      </c>
      <c r="AT7" s="2">
        <v>0.3</v>
      </c>
      <c r="AU7" s="2">
        <v>0.3</v>
      </c>
      <c r="AV7" s="2">
        <v>0.3</v>
      </c>
      <c r="AW7" s="2">
        <v>0.2</v>
      </c>
      <c r="AX7" s="2">
        <v>0.2</v>
      </c>
      <c r="AY7" s="2">
        <v>0</v>
      </c>
    </row>
    <row r="8" spans="1:51" s="2" customFormat="1" x14ac:dyDescent="0.25">
      <c r="A8" s="5" t="s">
        <v>109</v>
      </c>
      <c r="B8" s="2" t="s">
        <v>110</v>
      </c>
      <c r="C8" s="2">
        <v>1943145384190.1599</v>
      </c>
      <c r="D8" s="2">
        <v>1944107382550.3401</v>
      </c>
      <c r="E8" s="2">
        <v>2068624129493.6899</v>
      </c>
      <c r="F8" s="2">
        <v>2496128668171.5601</v>
      </c>
      <c r="G8" s="2">
        <v>2809187981127.3901</v>
      </c>
      <c r="H8" s="2">
        <v>2845802760850.6401</v>
      </c>
      <c r="I8" s="2">
        <v>2992196713084.9302</v>
      </c>
      <c r="J8" s="2">
        <v>3421229126745.1401</v>
      </c>
      <c r="K8" s="2">
        <v>3730027830672.3301</v>
      </c>
      <c r="L8" s="2">
        <v>3397791053070.2998</v>
      </c>
      <c r="M8" s="2">
        <v>3396354075663.73</v>
      </c>
      <c r="N8" s="2">
        <v>3744408602683.9399</v>
      </c>
      <c r="O8" s="2">
        <v>28.8</v>
      </c>
      <c r="P8" s="2">
        <v>30.3</v>
      </c>
      <c r="Q8" s="2">
        <v>29.9</v>
      </c>
      <c r="R8" s="2">
        <v>30</v>
      </c>
      <c r="S8" s="2">
        <v>30.4</v>
      </c>
      <c r="T8" s="2">
        <v>32.1</v>
      </c>
      <c r="U8" s="2">
        <v>31.3</v>
      </c>
      <c r="V8" s="2">
        <v>31.3</v>
      </c>
      <c r="W8" s="2">
        <v>31.1</v>
      </c>
      <c r="X8" s="2">
        <v>30.5</v>
      </c>
      <c r="Y8" s="2">
        <v>30.2</v>
      </c>
      <c r="Z8" s="2">
        <v>30.5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0.2</v>
      </c>
      <c r="AJ8" s="2">
        <v>0</v>
      </c>
      <c r="AK8" s="2">
        <v>0</v>
      </c>
      <c r="AL8" s="2">
        <v>0</v>
      </c>
      <c r="AM8" s="2" t="s">
        <v>110</v>
      </c>
      <c r="AN8" s="2">
        <v>0.2</v>
      </c>
      <c r="AO8" s="2">
        <v>0.2</v>
      </c>
      <c r="AP8" s="2">
        <v>0.2</v>
      </c>
      <c r="AQ8" s="2">
        <v>0.2</v>
      </c>
      <c r="AR8" s="2">
        <v>0.2</v>
      </c>
      <c r="AS8" s="2">
        <v>0.2</v>
      </c>
      <c r="AT8" s="2">
        <v>0</v>
      </c>
      <c r="AU8" s="2">
        <v>0.2</v>
      </c>
      <c r="AV8" s="2">
        <v>0.2</v>
      </c>
      <c r="AW8" s="2">
        <v>0.2</v>
      </c>
      <c r="AX8" s="2">
        <v>0.2</v>
      </c>
      <c r="AY8" s="2">
        <v>0.2</v>
      </c>
    </row>
    <row r="9" spans="1:51" s="2" customFormat="1" x14ac:dyDescent="0.25">
      <c r="A9" s="5" t="s">
        <v>115</v>
      </c>
      <c r="B9" s="2" t="s">
        <v>116</v>
      </c>
      <c r="C9" s="2">
        <v>164158739097.62299</v>
      </c>
      <c r="D9" s="2">
        <v>164791442543.375</v>
      </c>
      <c r="E9" s="2">
        <v>178635163717.431</v>
      </c>
      <c r="F9" s="2">
        <v>218096033517.009</v>
      </c>
      <c r="G9" s="2">
        <v>251373002954.38199</v>
      </c>
      <c r="H9" s="2">
        <v>264467336457.17001</v>
      </c>
      <c r="I9" s="2">
        <v>282884947702.966</v>
      </c>
      <c r="J9" s="2">
        <v>319423424509.06598</v>
      </c>
      <c r="K9" s="2">
        <v>353361038818.383</v>
      </c>
      <c r="L9" s="2">
        <v>321241303699.00598</v>
      </c>
      <c r="M9" s="2">
        <v>321995279401.50201</v>
      </c>
      <c r="N9" s="2">
        <v>344003137611.271</v>
      </c>
      <c r="O9" s="2">
        <v>23.8</v>
      </c>
      <c r="R9" s="2">
        <v>25.6</v>
      </c>
      <c r="S9" s="2">
        <v>24.9</v>
      </c>
      <c r="T9" s="2">
        <v>25.2</v>
      </c>
      <c r="U9" s="2">
        <v>25.9</v>
      </c>
      <c r="V9" s="2">
        <v>26.2</v>
      </c>
      <c r="W9" s="2">
        <v>25.2</v>
      </c>
      <c r="X9" s="2">
        <v>26.7</v>
      </c>
      <c r="Y9" s="2">
        <v>27.2</v>
      </c>
      <c r="Z9" s="2">
        <v>27.3</v>
      </c>
      <c r="AA9" s="2">
        <v>0</v>
      </c>
      <c r="AD9" s="2">
        <v>0.3</v>
      </c>
      <c r="AE9" s="2">
        <v>0.3</v>
      </c>
      <c r="AF9" s="2">
        <v>0.3</v>
      </c>
      <c r="AG9" s="2">
        <v>0.1</v>
      </c>
      <c r="AH9" s="2">
        <v>0</v>
      </c>
      <c r="AI9" s="2">
        <v>0.1</v>
      </c>
      <c r="AJ9" s="2">
        <v>0.5</v>
      </c>
      <c r="AK9" s="2">
        <v>0.1</v>
      </c>
      <c r="AL9" s="2">
        <v>0</v>
      </c>
      <c r="AM9" s="2" t="s">
        <v>116</v>
      </c>
      <c r="AN9" s="2">
        <v>0.2</v>
      </c>
      <c r="AQ9" s="2">
        <v>0.4</v>
      </c>
      <c r="AR9" s="2">
        <v>0.4</v>
      </c>
      <c r="AS9" s="2">
        <v>0.5</v>
      </c>
      <c r="AT9" s="2">
        <v>0.3</v>
      </c>
      <c r="AU9" s="2">
        <v>0.5</v>
      </c>
      <c r="AV9" s="2">
        <v>0.7</v>
      </c>
      <c r="AW9" s="2">
        <v>0.9</v>
      </c>
      <c r="AX9" s="2">
        <v>0.2</v>
      </c>
      <c r="AY9" s="2">
        <v>0.6</v>
      </c>
    </row>
    <row r="10" spans="1:51" s="2" customFormat="1" x14ac:dyDescent="0.25">
      <c r="A10" s="5" t="s">
        <v>139</v>
      </c>
      <c r="B10" s="2" t="s">
        <v>140</v>
      </c>
      <c r="C10" s="2">
        <v>596877648793.07202</v>
      </c>
      <c r="D10" s="2">
        <v>627286800894.85498</v>
      </c>
      <c r="E10" s="2">
        <v>705394315829.09802</v>
      </c>
      <c r="F10" s="2">
        <v>905492099322.79895</v>
      </c>
      <c r="G10" s="2">
        <v>1067093369754.16</v>
      </c>
      <c r="H10" s="2">
        <v>1153285660987.4399</v>
      </c>
      <c r="I10" s="2">
        <v>1259343871534.3101</v>
      </c>
      <c r="J10" s="2">
        <v>1472131125102.6599</v>
      </c>
      <c r="K10" s="2">
        <v>1625224842536.99</v>
      </c>
      <c r="L10" s="2">
        <v>1485583495415.3899</v>
      </c>
      <c r="M10" s="2">
        <v>1420722034063</v>
      </c>
      <c r="N10" s="2">
        <v>1478772824224.03</v>
      </c>
      <c r="O10" s="2">
        <v>34.299999999999997</v>
      </c>
      <c r="R10" s="2">
        <v>31.8</v>
      </c>
      <c r="S10" s="2">
        <v>33.299999999999997</v>
      </c>
      <c r="T10" s="2">
        <v>32.4</v>
      </c>
      <c r="U10" s="2">
        <v>33.5</v>
      </c>
      <c r="V10" s="2">
        <v>34.1</v>
      </c>
      <c r="W10" s="2">
        <v>34.200000000000003</v>
      </c>
      <c r="X10" s="2">
        <v>34.9</v>
      </c>
      <c r="Y10" s="2">
        <v>35.200000000000003</v>
      </c>
      <c r="Z10" s="2">
        <v>35.700000000000003</v>
      </c>
      <c r="AA10" s="2">
        <v>0.5</v>
      </c>
      <c r="AD10" s="2">
        <v>0.8</v>
      </c>
      <c r="AE10" s="2">
        <v>0.8</v>
      </c>
      <c r="AF10" s="2">
        <v>0.8</v>
      </c>
      <c r="AG10" s="2">
        <v>0.8</v>
      </c>
      <c r="AH10" s="2">
        <v>0.4</v>
      </c>
      <c r="AI10" s="2">
        <v>0.5</v>
      </c>
      <c r="AJ10" s="2">
        <v>0.8</v>
      </c>
      <c r="AK10" s="2">
        <v>0.7</v>
      </c>
      <c r="AL10" s="2">
        <v>1.1000000000000001</v>
      </c>
      <c r="AM10" s="2" t="s">
        <v>140</v>
      </c>
      <c r="AN10" s="2">
        <v>1.5</v>
      </c>
      <c r="AQ10" s="2">
        <v>2.1</v>
      </c>
      <c r="AR10" s="2">
        <v>2.1</v>
      </c>
      <c r="AS10" s="2">
        <v>2.2999999999999998</v>
      </c>
      <c r="AT10" s="2">
        <v>2.4</v>
      </c>
      <c r="AU10" s="2">
        <v>1.5</v>
      </c>
      <c r="AV10" s="2">
        <v>1.7</v>
      </c>
      <c r="AW10" s="2">
        <v>2.2999999999999998</v>
      </c>
      <c r="AX10" s="2">
        <v>2.2999999999999998</v>
      </c>
      <c r="AY10" s="2">
        <v>2.8</v>
      </c>
    </row>
    <row r="11" spans="1:51" s="2" customFormat="1" x14ac:dyDescent="0.25">
      <c r="A11" s="5" t="s">
        <v>141</v>
      </c>
      <c r="B11" s="2" t="s">
        <v>142</v>
      </c>
      <c r="C11" s="2">
        <v>5694069842.4398804</v>
      </c>
      <c r="D11" s="2">
        <v>6259257899.9194298</v>
      </c>
      <c r="E11" s="2">
        <v>7372457379.6741104</v>
      </c>
      <c r="F11" s="2">
        <v>9877636630.5329704</v>
      </c>
      <c r="G11" s="2">
        <v>12144397515.528</v>
      </c>
      <c r="H11" s="2">
        <v>14098326078.8459</v>
      </c>
      <c r="I11" s="2">
        <v>17012322167.8585</v>
      </c>
      <c r="J11" s="2">
        <v>22445583082.397999</v>
      </c>
      <c r="K11" s="2">
        <v>24371299252.966202</v>
      </c>
      <c r="L11" s="2">
        <v>19744110864.128899</v>
      </c>
      <c r="M11" s="2">
        <v>19693608289.077301</v>
      </c>
      <c r="N11" s="2">
        <v>23391530006.316601</v>
      </c>
      <c r="R11" s="2">
        <v>37.200000000000003</v>
      </c>
      <c r="S11" s="2">
        <v>33.6</v>
      </c>
      <c r="T11" s="2">
        <v>33.4</v>
      </c>
      <c r="U11" s="2">
        <v>33.700000000000003</v>
      </c>
      <c r="V11" s="2">
        <v>31.2</v>
      </c>
      <c r="W11" s="2">
        <v>31.9</v>
      </c>
      <c r="X11" s="2">
        <v>31.4</v>
      </c>
      <c r="Y11" s="2">
        <v>32</v>
      </c>
      <c r="Z11" s="2">
        <v>32.5</v>
      </c>
      <c r="AD11" s="2">
        <v>2.2999999999999998</v>
      </c>
      <c r="AE11" s="2">
        <v>1</v>
      </c>
      <c r="AF11" s="2">
        <v>0.8</v>
      </c>
      <c r="AG11" s="2">
        <v>0.7</v>
      </c>
      <c r="AH11" s="2">
        <v>0.4</v>
      </c>
      <c r="AI11" s="2">
        <v>0.4</v>
      </c>
      <c r="AJ11" s="2">
        <v>0.6</v>
      </c>
      <c r="AK11" s="2">
        <v>0.7</v>
      </c>
      <c r="AL11" s="2">
        <v>1</v>
      </c>
      <c r="AM11" s="2" t="s">
        <v>142</v>
      </c>
      <c r="AQ11" s="2">
        <v>12.1</v>
      </c>
      <c r="AR11" s="2">
        <v>8.1999999999999993</v>
      </c>
      <c r="AS11" s="2">
        <v>5.5</v>
      </c>
      <c r="AT11" s="2">
        <v>3.1</v>
      </c>
      <c r="AU11" s="2">
        <v>2.2999999999999998</v>
      </c>
      <c r="AV11" s="2">
        <v>2.2000000000000002</v>
      </c>
      <c r="AW11" s="2">
        <v>2.9</v>
      </c>
      <c r="AX11" s="2">
        <v>3.9</v>
      </c>
      <c r="AY11" s="2">
        <v>3.4</v>
      </c>
    </row>
    <row r="12" spans="1:51" s="2" customFormat="1" x14ac:dyDescent="0.25">
      <c r="A12" s="5" t="s">
        <v>149</v>
      </c>
      <c r="B12" s="2" t="s">
        <v>150</v>
      </c>
      <c r="C12" s="2">
        <v>125706651925.55701</v>
      </c>
      <c r="D12" s="2">
        <v>129421029082.774</v>
      </c>
      <c r="E12" s="2">
        <v>139738377564.465</v>
      </c>
      <c r="F12" s="2">
        <v>171274266365.68799</v>
      </c>
      <c r="G12" s="2">
        <v>197116960516.51401</v>
      </c>
      <c r="H12" s="2">
        <v>204809103345.35501</v>
      </c>
      <c r="I12" s="2">
        <v>216907539831.89099</v>
      </c>
      <c r="J12" s="2">
        <v>256052559540.104</v>
      </c>
      <c r="K12" s="2">
        <v>284553976856.599</v>
      </c>
      <c r="L12" s="2">
        <v>252496526813.004</v>
      </c>
      <c r="M12" s="2">
        <v>249181190476.36899</v>
      </c>
      <c r="N12" s="2">
        <v>275243697751.01099</v>
      </c>
      <c r="O12" s="2">
        <v>27.2</v>
      </c>
      <c r="R12" s="2">
        <v>27.7</v>
      </c>
      <c r="S12" s="2">
        <v>27.9</v>
      </c>
      <c r="T12" s="2">
        <v>27.6</v>
      </c>
      <c r="U12" s="2">
        <v>28</v>
      </c>
      <c r="V12" s="2">
        <v>28.3</v>
      </c>
      <c r="W12" s="2">
        <v>27.8</v>
      </c>
      <c r="X12" s="2">
        <v>27.5</v>
      </c>
      <c r="Y12" s="2">
        <v>27.7</v>
      </c>
      <c r="Z12" s="2">
        <v>27.6</v>
      </c>
      <c r="AA12" s="2">
        <v>0</v>
      </c>
      <c r="AD12" s="2">
        <v>0</v>
      </c>
      <c r="AE12" s="2">
        <v>0</v>
      </c>
      <c r="AF12" s="2">
        <v>0.1</v>
      </c>
      <c r="AG12" s="2">
        <v>0.1</v>
      </c>
      <c r="AH12" s="2">
        <v>0.1</v>
      </c>
      <c r="AI12" s="2">
        <v>0.1</v>
      </c>
      <c r="AJ12" s="2">
        <v>0.1</v>
      </c>
      <c r="AK12" s="2">
        <v>0</v>
      </c>
      <c r="AL12" s="2">
        <v>0</v>
      </c>
      <c r="AM12" s="2" t="s">
        <v>150</v>
      </c>
      <c r="AN12" s="2">
        <v>0.2</v>
      </c>
      <c r="AQ12" s="2">
        <v>0.2</v>
      </c>
      <c r="AR12" s="2">
        <v>0.1</v>
      </c>
      <c r="AS12" s="2">
        <v>0.2</v>
      </c>
      <c r="AT12" s="2">
        <v>0.2</v>
      </c>
      <c r="AU12" s="2">
        <v>0.1</v>
      </c>
      <c r="AV12" s="2">
        <v>0.2</v>
      </c>
      <c r="AW12" s="2">
        <v>0.1</v>
      </c>
      <c r="AX12" s="2">
        <v>0.1</v>
      </c>
      <c r="AY12" s="2">
        <v>0.1</v>
      </c>
    </row>
    <row r="13" spans="1:51" s="2" customFormat="1" x14ac:dyDescent="0.25">
      <c r="A13" s="5" t="s">
        <v>153</v>
      </c>
      <c r="B13" s="2" t="s">
        <v>154</v>
      </c>
      <c r="C13" s="2">
        <v>1362248940482.77</v>
      </c>
      <c r="D13" s="2">
        <v>1376465324384.79</v>
      </c>
      <c r="E13" s="2">
        <v>1494286655373.6101</v>
      </c>
      <c r="F13" s="2">
        <v>1840480812641.0801</v>
      </c>
      <c r="G13" s="2">
        <v>2115742488204.6201</v>
      </c>
      <c r="H13" s="2">
        <v>2196126103718.4399</v>
      </c>
      <c r="I13" s="2">
        <v>2318593651988.46</v>
      </c>
      <c r="J13" s="2">
        <v>2657213249384.0698</v>
      </c>
      <c r="K13" s="2">
        <v>2918382891460.3799</v>
      </c>
      <c r="L13" s="2">
        <v>2690222283967.77</v>
      </c>
      <c r="M13" s="2">
        <v>2642609548930.3599</v>
      </c>
      <c r="N13" s="2">
        <v>2861408170264.6001</v>
      </c>
      <c r="O13" s="2">
        <v>31.1</v>
      </c>
      <c r="R13" s="2">
        <v>31.4</v>
      </c>
      <c r="S13" s="2">
        <v>30.6</v>
      </c>
      <c r="T13" s="2">
        <v>29.8</v>
      </c>
      <c r="U13" s="2">
        <v>29.7</v>
      </c>
      <c r="V13" s="2">
        <v>32.4</v>
      </c>
      <c r="W13" s="2">
        <v>33</v>
      </c>
      <c r="X13" s="2">
        <v>32.700000000000003</v>
      </c>
      <c r="Y13" s="2">
        <v>33.700000000000003</v>
      </c>
      <c r="Z13" s="2">
        <v>33.299999999999997</v>
      </c>
      <c r="AA13" s="2">
        <v>0</v>
      </c>
      <c r="AD13" s="2">
        <v>0.2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0.1</v>
      </c>
      <c r="AL13" s="2">
        <v>0</v>
      </c>
      <c r="AM13" s="2" t="s">
        <v>154</v>
      </c>
      <c r="AN13" s="2">
        <v>0.2</v>
      </c>
      <c r="AQ13" s="2">
        <v>0.4</v>
      </c>
      <c r="AR13" s="2">
        <v>0.2</v>
      </c>
      <c r="AS13" s="2">
        <v>0.2</v>
      </c>
      <c r="AT13" s="2">
        <v>0.2</v>
      </c>
      <c r="AU13" s="2">
        <v>0.1</v>
      </c>
      <c r="AV13" s="2">
        <v>0.1</v>
      </c>
      <c r="AW13" s="2">
        <v>0.3</v>
      </c>
      <c r="AX13" s="2">
        <v>0.3</v>
      </c>
      <c r="AY13" s="2">
        <v>0.2</v>
      </c>
    </row>
    <row r="14" spans="1:51" s="2" customFormat="1" x14ac:dyDescent="0.25">
      <c r="A14" s="5" t="s">
        <v>161</v>
      </c>
      <c r="B14" s="2" t="s">
        <v>162</v>
      </c>
      <c r="C14" s="2">
        <v>1657816613708.5801</v>
      </c>
      <c r="D14" s="2">
        <v>1640246149417.01</v>
      </c>
      <c r="E14" s="2">
        <v>1784473920863.3101</v>
      </c>
      <c r="F14" s="2">
        <v>2053018775510.2</v>
      </c>
      <c r="G14" s="2">
        <v>2416931526913.2202</v>
      </c>
      <c r="H14" s="2">
        <v>2538680000000</v>
      </c>
      <c r="I14" s="2">
        <v>2713749770009.2002</v>
      </c>
      <c r="J14" s="2">
        <v>3100882352941.1802</v>
      </c>
      <c r="K14" s="2">
        <v>2922667279411.7598</v>
      </c>
      <c r="L14" s="2">
        <v>2410909799034.1201</v>
      </c>
      <c r="M14" s="2">
        <v>2475244321361.1099</v>
      </c>
      <c r="N14" s="2">
        <v>2659310054646.23</v>
      </c>
      <c r="S14" s="2">
        <v>36</v>
      </c>
      <c r="T14" s="2">
        <v>34.299999999999997</v>
      </c>
      <c r="U14" s="2">
        <v>34.6</v>
      </c>
      <c r="V14" s="2">
        <v>35.700000000000003</v>
      </c>
      <c r="W14" s="2">
        <v>34.1</v>
      </c>
      <c r="X14" s="2">
        <v>34.299999999999997</v>
      </c>
      <c r="Y14" s="2">
        <v>34.4</v>
      </c>
      <c r="Z14" s="2">
        <v>33.200000000000003</v>
      </c>
      <c r="AE14" s="2">
        <v>0.4</v>
      </c>
      <c r="AF14" s="2">
        <v>0.5</v>
      </c>
      <c r="AG14" s="2">
        <v>0.2</v>
      </c>
      <c r="AH14" s="2">
        <v>0.3</v>
      </c>
      <c r="AI14" s="2">
        <v>0.3</v>
      </c>
      <c r="AJ14" s="2">
        <v>0.2</v>
      </c>
      <c r="AK14" s="2">
        <v>0.1</v>
      </c>
      <c r="AL14" s="2">
        <v>0.4</v>
      </c>
      <c r="AM14" s="2" t="s">
        <v>162</v>
      </c>
      <c r="AR14" s="2">
        <v>1.2</v>
      </c>
      <c r="AS14" s="2">
        <v>1.2</v>
      </c>
      <c r="AT14" s="2">
        <v>0.8</v>
      </c>
      <c r="AU14" s="2">
        <v>0.8</v>
      </c>
      <c r="AV14" s="2">
        <v>1</v>
      </c>
      <c r="AW14" s="2">
        <v>0.6</v>
      </c>
      <c r="AX14" s="2">
        <v>0.7</v>
      </c>
      <c r="AY14" s="2">
        <v>0.7</v>
      </c>
    </row>
    <row r="15" spans="1:51" s="2" customFormat="1" x14ac:dyDescent="0.25">
      <c r="A15" s="5" t="s">
        <v>177</v>
      </c>
      <c r="B15" s="2" t="s">
        <v>178</v>
      </c>
      <c r="C15" s="2">
        <v>130133845586.88</v>
      </c>
      <c r="D15" s="2">
        <v>136191353914.989</v>
      </c>
      <c r="E15" s="2">
        <v>153830946734.42499</v>
      </c>
      <c r="F15" s="2">
        <v>201924269751.69299</v>
      </c>
      <c r="G15" s="2">
        <v>240521261484.97601</v>
      </c>
      <c r="H15" s="2">
        <v>247783002114.16501</v>
      </c>
      <c r="I15" s="2">
        <v>273317736795.88501</v>
      </c>
      <c r="J15" s="2">
        <v>318497937311.79901</v>
      </c>
      <c r="K15" s="2">
        <v>354460802695.18103</v>
      </c>
      <c r="L15" s="2">
        <v>330000251458.73901</v>
      </c>
      <c r="M15" s="2">
        <v>299361576293.33197</v>
      </c>
      <c r="N15" s="2">
        <v>287797821676.138</v>
      </c>
      <c r="O15" s="2">
        <v>34.200000000000003</v>
      </c>
      <c r="R15" s="2">
        <v>32.799999999999997</v>
      </c>
      <c r="S15" s="2">
        <v>33.6</v>
      </c>
      <c r="T15" s="2">
        <v>34.6</v>
      </c>
      <c r="U15" s="2">
        <v>35.1</v>
      </c>
      <c r="V15" s="2">
        <v>34</v>
      </c>
      <c r="W15" s="2">
        <v>33.6</v>
      </c>
      <c r="X15" s="2">
        <v>33.6</v>
      </c>
      <c r="Y15" s="2">
        <v>34.1</v>
      </c>
      <c r="Z15" s="2">
        <v>34.799999999999997</v>
      </c>
      <c r="AA15" s="2">
        <v>0.5</v>
      </c>
      <c r="AD15" s="2">
        <v>0.5</v>
      </c>
      <c r="AE15" s="2">
        <v>0.7</v>
      </c>
      <c r="AF15" s="2">
        <v>0.3</v>
      </c>
      <c r="AG15" s="2">
        <v>0.6</v>
      </c>
      <c r="AH15" s="2">
        <v>0.5</v>
      </c>
      <c r="AI15" s="2">
        <v>0.3</v>
      </c>
      <c r="AJ15" s="2">
        <v>0.6</v>
      </c>
      <c r="AK15" s="2">
        <v>1</v>
      </c>
      <c r="AL15" s="2">
        <v>1.2</v>
      </c>
      <c r="AM15" s="2" t="s">
        <v>178</v>
      </c>
      <c r="AN15" s="2">
        <v>2.5</v>
      </c>
      <c r="AQ15" s="2">
        <v>1.6</v>
      </c>
      <c r="AR15" s="2">
        <v>1.7</v>
      </c>
      <c r="AS15" s="2">
        <v>1.6</v>
      </c>
      <c r="AT15" s="2">
        <v>1.9</v>
      </c>
      <c r="AU15" s="2">
        <v>1.7</v>
      </c>
      <c r="AV15" s="2">
        <v>1.2</v>
      </c>
      <c r="AW15" s="2">
        <v>1.5</v>
      </c>
      <c r="AX15" s="2">
        <v>2.4</v>
      </c>
      <c r="AY15" s="2">
        <v>4.8</v>
      </c>
    </row>
    <row r="16" spans="1:51" s="2" customFormat="1" x14ac:dyDescent="0.25">
      <c r="A16" s="5" t="s">
        <v>201</v>
      </c>
      <c r="B16" s="2" t="s">
        <v>202</v>
      </c>
      <c r="C16" s="2">
        <v>47218405892.425797</v>
      </c>
      <c r="D16" s="2">
        <v>53749989092.019699</v>
      </c>
      <c r="E16" s="2">
        <v>67608919144.368401</v>
      </c>
      <c r="F16" s="2">
        <v>85302003908.042007</v>
      </c>
      <c r="G16" s="2">
        <v>103960017914.058</v>
      </c>
      <c r="H16" s="2">
        <v>112980947728.383</v>
      </c>
      <c r="I16" s="2">
        <v>115577256523.599</v>
      </c>
      <c r="J16" s="2">
        <v>139966001509.59201</v>
      </c>
      <c r="K16" s="2">
        <v>158136326477.965</v>
      </c>
      <c r="L16" s="2">
        <v>130760312876.683</v>
      </c>
      <c r="M16" s="2">
        <v>131916516051.985</v>
      </c>
      <c r="N16" s="2">
        <v>141759722464.00201</v>
      </c>
      <c r="S16" s="2">
        <v>29.9</v>
      </c>
      <c r="T16" s="2">
        <v>34.700000000000003</v>
      </c>
      <c r="U16" s="2">
        <v>28.3</v>
      </c>
      <c r="V16" s="2">
        <v>27.9</v>
      </c>
      <c r="W16" s="2">
        <v>27.5</v>
      </c>
      <c r="X16" s="2">
        <v>27</v>
      </c>
      <c r="Y16" s="2">
        <v>29.4</v>
      </c>
      <c r="Z16" s="2">
        <v>29.2</v>
      </c>
      <c r="AE16" s="2">
        <v>0.1</v>
      </c>
      <c r="AF16" s="2">
        <v>0.7</v>
      </c>
      <c r="AG16" s="2">
        <v>0.1</v>
      </c>
      <c r="AH16" s="2">
        <v>0.1</v>
      </c>
      <c r="AI16" s="2">
        <v>0</v>
      </c>
      <c r="AJ16" s="2">
        <v>0.1</v>
      </c>
      <c r="AK16" s="2">
        <v>0.1</v>
      </c>
      <c r="AL16" s="2">
        <v>0.1</v>
      </c>
      <c r="AM16" s="2" t="s">
        <v>202</v>
      </c>
      <c r="AR16" s="2">
        <v>2.9</v>
      </c>
      <c r="AS16" s="2">
        <v>4.5</v>
      </c>
      <c r="AT16" s="2">
        <v>1.9</v>
      </c>
      <c r="AU16" s="2">
        <v>1.8</v>
      </c>
      <c r="AV16" s="2">
        <v>1.5</v>
      </c>
      <c r="AW16" s="2">
        <v>1.4</v>
      </c>
      <c r="AX16" s="2">
        <v>2.5</v>
      </c>
      <c r="AY16" s="2">
        <v>2.8</v>
      </c>
    </row>
    <row r="17" spans="1:51" s="2" customFormat="1" x14ac:dyDescent="0.25">
      <c r="A17" s="5" t="s">
        <v>221</v>
      </c>
      <c r="B17" s="2" t="s">
        <v>222</v>
      </c>
      <c r="C17" s="2">
        <v>99852958356.366302</v>
      </c>
      <c r="D17" s="2">
        <v>109135253691.27499</v>
      </c>
      <c r="E17" s="2">
        <v>127949874835.31</v>
      </c>
      <c r="F17" s="2">
        <v>164284689616.25299</v>
      </c>
      <c r="G17" s="2">
        <v>193870692823.44199</v>
      </c>
      <c r="H17" s="2">
        <v>211649034945.90201</v>
      </c>
      <c r="I17" s="2">
        <v>232083467569.94101</v>
      </c>
      <c r="J17" s="2">
        <v>269917942786.75101</v>
      </c>
      <c r="K17" s="2">
        <v>275038895561.73999</v>
      </c>
      <c r="L17" s="2">
        <v>236316405946.09601</v>
      </c>
      <c r="M17" s="2">
        <v>222148757577.89099</v>
      </c>
      <c r="N17" s="2">
        <v>237472361733.54599</v>
      </c>
      <c r="O17" s="2">
        <v>33</v>
      </c>
      <c r="R17" s="2">
        <v>32.9</v>
      </c>
      <c r="S17" s="2">
        <v>33.6</v>
      </c>
      <c r="T17" s="2">
        <v>33.799999999999997</v>
      </c>
      <c r="U17" s="2">
        <v>32.700000000000003</v>
      </c>
      <c r="V17" s="2">
        <v>31.9</v>
      </c>
      <c r="W17" s="2">
        <v>30.9</v>
      </c>
      <c r="X17" s="2">
        <v>32.700000000000003</v>
      </c>
      <c r="Y17" s="2">
        <v>32.299999999999997</v>
      </c>
      <c r="Z17" s="2">
        <v>32.9</v>
      </c>
      <c r="AA17" s="2">
        <v>0.2</v>
      </c>
      <c r="AD17" s="2">
        <v>0.1</v>
      </c>
      <c r="AE17" s="2">
        <v>0</v>
      </c>
      <c r="AF17" s="2">
        <v>0</v>
      </c>
      <c r="AG17" s="2">
        <v>0.4</v>
      </c>
      <c r="AH17" s="2">
        <v>0.1</v>
      </c>
      <c r="AI17" s="2">
        <v>0.2</v>
      </c>
      <c r="AJ17" s="2">
        <v>0.4</v>
      </c>
      <c r="AK17" s="2">
        <v>0.5</v>
      </c>
      <c r="AL17" s="2">
        <v>0.5</v>
      </c>
      <c r="AM17" s="2" t="s">
        <v>222</v>
      </c>
      <c r="AN17" s="2">
        <v>0.5</v>
      </c>
      <c r="AQ17" s="2">
        <v>0.4</v>
      </c>
      <c r="AR17" s="2">
        <v>0.3</v>
      </c>
      <c r="AS17" s="2">
        <v>0.2</v>
      </c>
      <c r="AT17" s="2">
        <v>0.6</v>
      </c>
      <c r="AU17" s="2">
        <v>0.4</v>
      </c>
      <c r="AV17" s="2">
        <v>0.6</v>
      </c>
      <c r="AW17" s="2">
        <v>1.2</v>
      </c>
      <c r="AX17" s="2">
        <v>1.5</v>
      </c>
      <c r="AY17" s="2">
        <v>1.2</v>
      </c>
    </row>
    <row r="18" spans="1:51" s="2" customFormat="1" x14ac:dyDescent="0.25">
      <c r="A18" s="5" t="s">
        <v>227</v>
      </c>
      <c r="B18" s="2" t="s">
        <v>228</v>
      </c>
      <c r="C18" s="2">
        <v>9003639602.6254196</v>
      </c>
      <c r="D18" s="2">
        <v>8205357404.5980196</v>
      </c>
      <c r="E18" s="2">
        <v>9294652008.4179096</v>
      </c>
      <c r="F18" s="2">
        <v>11414055065.246599</v>
      </c>
      <c r="G18" s="2">
        <v>13834750404.9624</v>
      </c>
      <c r="H18" s="2">
        <v>16812530830.3841</v>
      </c>
      <c r="I18" s="2">
        <v>17216420304.930199</v>
      </c>
      <c r="J18" s="2">
        <v>21514962938.100101</v>
      </c>
      <c r="K18" s="2">
        <v>17905251722.895</v>
      </c>
      <c r="L18" s="2">
        <v>13164652470.429899</v>
      </c>
      <c r="M18" s="2">
        <v>13683689692.6583</v>
      </c>
      <c r="N18" s="2">
        <v>15158548262.772301</v>
      </c>
      <c r="O18" s="2" t="s">
        <v>4</v>
      </c>
      <c r="S18" s="2">
        <v>26.8</v>
      </c>
      <c r="T18" s="2">
        <v>28</v>
      </c>
      <c r="U18" s="2">
        <v>29</v>
      </c>
      <c r="V18" s="2">
        <v>30.2</v>
      </c>
      <c r="W18" s="2">
        <v>29.5</v>
      </c>
      <c r="X18" s="2">
        <v>31.8</v>
      </c>
      <c r="Y18" s="2">
        <v>28.7</v>
      </c>
      <c r="Z18" s="2">
        <v>26.2</v>
      </c>
      <c r="AD18" s="2">
        <v>0</v>
      </c>
      <c r="AE18" s="2">
        <v>0.2</v>
      </c>
      <c r="AF18" s="2">
        <v>0</v>
      </c>
      <c r="AG18" s="2">
        <v>0.1</v>
      </c>
      <c r="AH18" s="2">
        <v>0.1</v>
      </c>
      <c r="AI18" s="2">
        <v>0.1</v>
      </c>
      <c r="AJ18" s="2">
        <v>0.1</v>
      </c>
      <c r="AK18" s="2">
        <v>0.1</v>
      </c>
      <c r="AL18" s="2">
        <v>0.1</v>
      </c>
      <c r="AM18" s="2" t="s">
        <v>228</v>
      </c>
      <c r="AQ18" s="2">
        <v>0.3</v>
      </c>
      <c r="AR18" s="2">
        <v>0.4</v>
      </c>
      <c r="AS18" s="2">
        <v>0.2</v>
      </c>
      <c r="AT18" s="2">
        <v>0.3</v>
      </c>
      <c r="AU18" s="2">
        <v>0.2</v>
      </c>
      <c r="AV18" s="2">
        <v>0.1</v>
      </c>
      <c r="AW18" s="2">
        <v>0.2</v>
      </c>
      <c r="AX18" s="2">
        <v>0.2</v>
      </c>
      <c r="AY18" s="2">
        <v>0.5</v>
      </c>
    </row>
    <row r="19" spans="1:51" s="2" customFormat="1" x14ac:dyDescent="0.25">
      <c r="A19" s="5" t="s">
        <v>231</v>
      </c>
      <c r="B19" s="2" t="s">
        <v>232</v>
      </c>
      <c r="C19" s="2">
        <v>1143829832319.8799</v>
      </c>
      <c r="D19" s="2">
        <v>1167012796420.5801</v>
      </c>
      <c r="E19" s="2">
        <v>1270712309429.7</v>
      </c>
      <c r="F19" s="2">
        <v>1574145823927.77</v>
      </c>
      <c r="G19" s="2">
        <v>1803226967966.23</v>
      </c>
      <c r="H19" s="2">
        <v>1857524312896.4099</v>
      </c>
      <c r="I19" s="2">
        <v>1947919708944.9299</v>
      </c>
      <c r="J19" s="2">
        <v>2210292636189.4302</v>
      </c>
      <c r="K19" s="2">
        <v>2398856598798.8901</v>
      </c>
      <c r="L19" s="2">
        <v>2191241872742.4299</v>
      </c>
      <c r="M19" s="2">
        <v>2134017843247.1599</v>
      </c>
      <c r="N19" s="2">
        <v>2291991045770.29</v>
      </c>
      <c r="O19" s="2">
        <v>35.299999999999997</v>
      </c>
      <c r="R19" s="2">
        <v>34.9</v>
      </c>
      <c r="S19" s="2">
        <v>34.299999999999997</v>
      </c>
      <c r="T19" s="2">
        <v>33.799999999999997</v>
      </c>
      <c r="U19" s="2">
        <v>33.700000000000003</v>
      </c>
      <c r="V19" s="2">
        <v>32.9</v>
      </c>
      <c r="W19" s="2">
        <v>33.799999999999997</v>
      </c>
      <c r="X19" s="2">
        <v>33.799999999999997</v>
      </c>
      <c r="Y19" s="2">
        <v>34.700000000000003</v>
      </c>
      <c r="Z19" s="2">
        <v>35.1</v>
      </c>
      <c r="AA19" s="2">
        <v>1.2</v>
      </c>
      <c r="AD19" s="2">
        <v>0.8</v>
      </c>
      <c r="AE19" s="2">
        <v>0.6</v>
      </c>
      <c r="AF19" s="2">
        <v>0.6</v>
      </c>
      <c r="AG19" s="2">
        <v>0.7</v>
      </c>
      <c r="AH19" s="2">
        <v>0.7</v>
      </c>
      <c r="AI19" s="2">
        <v>0.7</v>
      </c>
      <c r="AJ19" s="2">
        <v>0.9</v>
      </c>
      <c r="AK19" s="2">
        <v>1.3</v>
      </c>
      <c r="AL19" s="2">
        <v>1.2</v>
      </c>
      <c r="AM19" s="2" t="s">
        <v>232</v>
      </c>
      <c r="AN19" s="2">
        <v>3</v>
      </c>
      <c r="AQ19" s="2">
        <v>1.8</v>
      </c>
      <c r="AR19" s="2">
        <v>1.5</v>
      </c>
      <c r="AS19" s="2">
        <v>1.7</v>
      </c>
      <c r="AT19" s="2">
        <v>1.4</v>
      </c>
      <c r="AU19" s="2">
        <v>1.6</v>
      </c>
      <c r="AV19" s="2">
        <v>1.7</v>
      </c>
      <c r="AW19" s="2">
        <v>1.8</v>
      </c>
      <c r="AX19" s="2">
        <v>2.5</v>
      </c>
      <c r="AY19" s="2">
        <v>2.4</v>
      </c>
    </row>
    <row r="20" spans="1:51" s="2" customFormat="1" x14ac:dyDescent="0.25">
      <c r="A20" s="5" t="s">
        <v>237</v>
      </c>
      <c r="B20" s="2" t="s">
        <v>238</v>
      </c>
      <c r="C20" s="2">
        <v>4887519660744.8604</v>
      </c>
      <c r="D20" s="2">
        <v>4303544259842.7202</v>
      </c>
      <c r="E20" s="2">
        <v>4115116279069.77</v>
      </c>
      <c r="F20" s="2">
        <v>4445658071221.8604</v>
      </c>
      <c r="G20" s="2">
        <v>4815148854362.1104</v>
      </c>
      <c r="H20" s="2">
        <v>4755410630912.1396</v>
      </c>
      <c r="I20" s="2">
        <v>4530377224970.4004</v>
      </c>
      <c r="J20" s="2">
        <v>4515264514430.5703</v>
      </c>
      <c r="K20" s="2">
        <v>5037908465114.4805</v>
      </c>
      <c r="L20" s="2">
        <v>5231382674593.7002</v>
      </c>
      <c r="M20" s="2">
        <v>5700098114744.4102</v>
      </c>
      <c r="N20" s="2">
        <v>6157459594823.7197</v>
      </c>
      <c r="W20" s="2">
        <v>34.799999999999997</v>
      </c>
      <c r="Y20" s="2">
        <v>32.1</v>
      </c>
      <c r="AI20" s="2">
        <v>0.5</v>
      </c>
      <c r="AK20" s="2">
        <v>0</v>
      </c>
      <c r="AM20" s="2" t="s">
        <v>238</v>
      </c>
      <c r="AV20" s="2">
        <v>1.4</v>
      </c>
      <c r="AX20" s="2">
        <v>0.5</v>
      </c>
    </row>
    <row r="21" spans="1:51" s="2" customFormat="1" x14ac:dyDescent="0.25">
      <c r="A21" s="5" t="s">
        <v>285</v>
      </c>
      <c r="B21" s="2" t="s">
        <v>286</v>
      </c>
      <c r="C21" s="2">
        <v>11524776866.637899</v>
      </c>
      <c r="D21" s="2">
        <v>12237388001.7264</v>
      </c>
      <c r="E21" s="2">
        <v>14259781159.0119</v>
      </c>
      <c r="F21" s="2">
        <v>18781721376.198502</v>
      </c>
      <c r="G21" s="2">
        <v>22627507451.5648</v>
      </c>
      <c r="H21" s="2">
        <v>26097677571.837299</v>
      </c>
      <c r="I21" s="2">
        <v>30183575103.526199</v>
      </c>
      <c r="J21" s="2">
        <v>39697891351.9431</v>
      </c>
      <c r="K21" s="2">
        <v>47797551587.882301</v>
      </c>
      <c r="L21" s="2">
        <v>37388122046.149597</v>
      </c>
      <c r="M21" s="2">
        <v>37138464732.983803</v>
      </c>
      <c r="N21" s="2">
        <v>43582248869.614304</v>
      </c>
      <c r="S21" s="2">
        <v>37</v>
      </c>
      <c r="T21" s="2">
        <v>35.299999999999997</v>
      </c>
      <c r="U21" s="2">
        <v>34.4</v>
      </c>
      <c r="V21" s="2">
        <v>34.799999999999997</v>
      </c>
      <c r="W21" s="2">
        <v>35.700000000000003</v>
      </c>
      <c r="X21" s="2">
        <v>37.200000000000003</v>
      </c>
      <c r="Y21" s="2">
        <v>33.6</v>
      </c>
      <c r="Z21" s="2">
        <v>32.5</v>
      </c>
      <c r="AE21" s="2">
        <v>2.7</v>
      </c>
      <c r="AF21" s="2">
        <v>1.8</v>
      </c>
      <c r="AG21" s="2">
        <v>1.5</v>
      </c>
      <c r="AH21" s="2">
        <v>1.3</v>
      </c>
      <c r="AI21" s="2">
        <v>1.4</v>
      </c>
      <c r="AJ21" s="2">
        <v>2.2000000000000002</v>
      </c>
      <c r="AK21" s="2">
        <v>1.5</v>
      </c>
      <c r="AL21" s="2">
        <v>0.7</v>
      </c>
      <c r="AM21" s="2" t="s">
        <v>286</v>
      </c>
      <c r="AR21" s="2">
        <v>18.7</v>
      </c>
      <c r="AS21" s="2">
        <v>12.1</v>
      </c>
      <c r="AT21" s="2">
        <v>7.1</v>
      </c>
      <c r="AU21" s="2">
        <v>4.3</v>
      </c>
      <c r="AV21" s="2">
        <v>4.5</v>
      </c>
      <c r="AW21" s="2">
        <v>8.9</v>
      </c>
      <c r="AX21" s="2">
        <v>8.1999999999999993</v>
      </c>
      <c r="AY21" s="2">
        <v>5.3</v>
      </c>
    </row>
    <row r="22" spans="1:51" s="2" customFormat="1" x14ac:dyDescent="0.25">
      <c r="A22" s="5" t="s">
        <v>287</v>
      </c>
      <c r="B22" s="2" t="s">
        <v>288</v>
      </c>
      <c r="C22" s="2">
        <v>21263514833.241199</v>
      </c>
      <c r="D22" s="2">
        <v>21272418791.946301</v>
      </c>
      <c r="E22" s="2">
        <v>23616328816.111401</v>
      </c>
      <c r="F22" s="2">
        <v>29557325056.433399</v>
      </c>
      <c r="G22" s="2">
        <v>34685281847.529198</v>
      </c>
      <c r="H22" s="2">
        <v>37347394602.6614</v>
      </c>
      <c r="I22" s="2">
        <v>42414308116.923897</v>
      </c>
      <c r="J22" s="2">
        <v>50888134410.073898</v>
      </c>
      <c r="K22" s="2">
        <v>55849686538.743202</v>
      </c>
      <c r="L22" s="2">
        <v>51370543206.446198</v>
      </c>
      <c r="M22" s="2">
        <v>53212476812.2957</v>
      </c>
      <c r="N22" s="2">
        <v>60004630234.413498</v>
      </c>
      <c r="O22" s="2">
        <v>30.4</v>
      </c>
      <c r="R22" s="2">
        <v>30.2</v>
      </c>
      <c r="S22" s="2">
        <v>30.2</v>
      </c>
      <c r="T22" s="2">
        <v>30.8</v>
      </c>
      <c r="U22" s="2">
        <v>30.9</v>
      </c>
      <c r="V22" s="2">
        <v>31.1</v>
      </c>
      <c r="W22" s="2">
        <v>32.6</v>
      </c>
      <c r="X22" s="2">
        <v>31.2</v>
      </c>
      <c r="Y22" s="2">
        <v>30.5</v>
      </c>
      <c r="Z22" s="2">
        <v>32.1</v>
      </c>
      <c r="AA22" s="2">
        <v>0</v>
      </c>
      <c r="AD22" s="2">
        <v>0.1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0.1</v>
      </c>
      <c r="AM22" s="2" t="s">
        <v>288</v>
      </c>
      <c r="AN22" s="2">
        <v>0</v>
      </c>
      <c r="AQ22" s="2">
        <v>0.5</v>
      </c>
      <c r="AR22" s="2">
        <v>0.1</v>
      </c>
      <c r="AS22" s="2">
        <v>0.1</v>
      </c>
      <c r="AT22" s="2">
        <v>0</v>
      </c>
      <c r="AU22" s="2">
        <v>0</v>
      </c>
      <c r="AV22" s="2">
        <v>0</v>
      </c>
      <c r="AW22" s="2">
        <v>0.2</v>
      </c>
      <c r="AX22" s="2">
        <v>0.1</v>
      </c>
      <c r="AY22" s="2">
        <v>0.2</v>
      </c>
    </row>
    <row r="23" spans="1:51" s="2" customFormat="1" x14ac:dyDescent="0.25">
      <c r="A23" s="5" t="s">
        <v>351</v>
      </c>
      <c r="B23" s="2" t="s">
        <v>352</v>
      </c>
      <c r="C23" s="2">
        <v>416442786069.65198</v>
      </c>
      <c r="D23" s="2">
        <v>431213422818.79199</v>
      </c>
      <c r="E23" s="2">
        <v>471613965744.401</v>
      </c>
      <c r="F23" s="2">
        <v>578792325056.43298</v>
      </c>
      <c r="G23" s="2">
        <v>657171591755.64905</v>
      </c>
      <c r="H23" s="2">
        <v>685092650167.89001</v>
      </c>
      <c r="I23" s="2">
        <v>733340860619.74695</v>
      </c>
      <c r="J23" s="2">
        <v>847481522036.68201</v>
      </c>
      <c r="K23" s="2">
        <v>947997656364.43506</v>
      </c>
      <c r="L23" s="2">
        <v>868077243678.80005</v>
      </c>
      <c r="M23" s="2">
        <v>846554894931.08398</v>
      </c>
      <c r="N23" s="2">
        <v>904085980796.01794</v>
      </c>
      <c r="S23" s="2">
        <v>29.8</v>
      </c>
      <c r="T23" s="2">
        <v>29</v>
      </c>
      <c r="U23" s="2">
        <v>30</v>
      </c>
      <c r="V23" s="2">
        <v>29.6</v>
      </c>
      <c r="W23" s="2">
        <v>29.3</v>
      </c>
      <c r="X23" s="2">
        <v>27.9</v>
      </c>
      <c r="Y23" s="2">
        <v>27.8</v>
      </c>
      <c r="Z23" s="2">
        <v>27.8</v>
      </c>
      <c r="AE23" s="2">
        <v>0.2</v>
      </c>
      <c r="AF23" s="2">
        <v>0.1</v>
      </c>
      <c r="AG23" s="2">
        <v>0</v>
      </c>
      <c r="AH23" s="2">
        <v>0</v>
      </c>
      <c r="AI23" s="2">
        <v>0.1</v>
      </c>
      <c r="AJ23" s="2">
        <v>0.1</v>
      </c>
      <c r="AK23" s="2">
        <v>0</v>
      </c>
      <c r="AL23" s="2">
        <v>0.1</v>
      </c>
      <c r="AM23" s="2" t="s">
        <v>352</v>
      </c>
      <c r="AR23" s="2">
        <v>0.8</v>
      </c>
      <c r="AS23" s="2">
        <v>0.4</v>
      </c>
      <c r="AT23" s="2">
        <v>0.2</v>
      </c>
      <c r="AU23" s="2">
        <v>0.3</v>
      </c>
      <c r="AV23" s="2">
        <v>0.5</v>
      </c>
      <c r="AW23" s="2">
        <v>0.3</v>
      </c>
      <c r="AX23" s="2">
        <v>0.2</v>
      </c>
      <c r="AY23" s="2">
        <v>0.3</v>
      </c>
    </row>
    <row r="24" spans="1:51" s="2" customFormat="1" x14ac:dyDescent="0.25">
      <c r="A24" s="5" t="s">
        <v>353</v>
      </c>
      <c r="B24" s="2" t="s">
        <v>354</v>
      </c>
      <c r="C24" s="2">
        <v>171247131268.604</v>
      </c>
      <c r="D24" s="2">
        <v>173972218824.02701</v>
      </c>
      <c r="E24" s="2">
        <v>195524186477.617</v>
      </c>
      <c r="F24" s="2">
        <v>228858506821.841</v>
      </c>
      <c r="G24" s="2">
        <v>264511630666.983</v>
      </c>
      <c r="H24" s="2">
        <v>308884284051.22198</v>
      </c>
      <c r="I24" s="2">
        <v>345581369965.53998</v>
      </c>
      <c r="J24" s="2">
        <v>400937100158.65698</v>
      </c>
      <c r="K24" s="2">
        <v>462250000000</v>
      </c>
      <c r="L24" s="2">
        <v>386190385318.76703</v>
      </c>
      <c r="M24" s="2">
        <v>428757038466.841</v>
      </c>
      <c r="N24" s="2">
        <v>498283438454.28101</v>
      </c>
      <c r="O24" s="2">
        <v>27.4</v>
      </c>
      <c r="R24" s="2">
        <v>27.6</v>
      </c>
      <c r="S24" s="2">
        <v>31.6</v>
      </c>
      <c r="T24" s="2">
        <v>30.6</v>
      </c>
      <c r="U24" s="2">
        <v>26.4</v>
      </c>
      <c r="V24" s="2">
        <v>27.1</v>
      </c>
      <c r="W24" s="2">
        <v>27</v>
      </c>
      <c r="X24" s="2">
        <v>26.2</v>
      </c>
      <c r="Y24" s="2">
        <v>25.7</v>
      </c>
      <c r="Z24" s="2">
        <v>25.3</v>
      </c>
      <c r="AA24" s="2">
        <v>0.2</v>
      </c>
      <c r="AD24" s="2">
        <v>0.2</v>
      </c>
      <c r="AE24" s="2">
        <v>0.3</v>
      </c>
      <c r="AF24" s="2">
        <v>0.2</v>
      </c>
      <c r="AG24" s="2">
        <v>0.1</v>
      </c>
      <c r="AH24" s="2">
        <v>0.1</v>
      </c>
      <c r="AI24" s="2">
        <v>0.2</v>
      </c>
      <c r="AJ24" s="2">
        <v>0.1</v>
      </c>
      <c r="AK24" s="2">
        <v>0.2</v>
      </c>
      <c r="AL24" s="2">
        <v>0.1</v>
      </c>
      <c r="AM24" s="2" t="s">
        <v>354</v>
      </c>
      <c r="AN24" s="2">
        <v>0.5</v>
      </c>
      <c r="AQ24" s="2">
        <v>0.3</v>
      </c>
      <c r="AR24" s="2">
        <v>0.5</v>
      </c>
      <c r="AS24" s="2">
        <v>0.4</v>
      </c>
      <c r="AT24" s="2">
        <v>0.5</v>
      </c>
      <c r="AU24" s="2">
        <v>0.4</v>
      </c>
      <c r="AV24" s="2">
        <v>0.4</v>
      </c>
      <c r="AW24" s="2">
        <v>0.2</v>
      </c>
      <c r="AX24" s="2">
        <v>0.3</v>
      </c>
      <c r="AY24" s="2">
        <v>0.2</v>
      </c>
    </row>
    <row r="25" spans="1:51" s="2" customFormat="1" x14ac:dyDescent="0.25">
      <c r="A25" s="5" t="s">
        <v>359</v>
      </c>
      <c r="B25" s="2" t="s">
        <v>360</v>
      </c>
      <c r="C25" s="2">
        <v>52623281956.703102</v>
      </c>
      <c r="D25" s="2">
        <v>53872425916.624802</v>
      </c>
      <c r="E25" s="2">
        <v>66627729311.449501</v>
      </c>
      <c r="F25" s="2">
        <v>88250885550.262604</v>
      </c>
      <c r="G25" s="2">
        <v>103905210084.034</v>
      </c>
      <c r="H25" s="2">
        <v>114720129550.095</v>
      </c>
      <c r="I25" s="2">
        <v>111608845081.383</v>
      </c>
      <c r="J25" s="2">
        <v>137320496803.116</v>
      </c>
      <c r="K25" s="2">
        <v>133290222815.77299</v>
      </c>
      <c r="L25" s="2">
        <v>121357986132.8</v>
      </c>
      <c r="M25" s="2">
        <v>146619138358.948</v>
      </c>
      <c r="N25" s="2">
        <v>168510189201.49399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M25" s="2" t="s">
        <v>360</v>
      </c>
    </row>
    <row r="26" spans="1:51" s="2" customFormat="1" x14ac:dyDescent="0.25">
      <c r="A26" s="5" t="s">
        <v>379</v>
      </c>
      <c r="B26" s="2" t="s">
        <v>380</v>
      </c>
      <c r="C26" s="2">
        <v>172219461126.06699</v>
      </c>
      <c r="D26" s="2">
        <v>190905493539.168</v>
      </c>
      <c r="E26" s="2">
        <v>199072058823.52899</v>
      </c>
      <c r="F26" s="2">
        <v>217827260805.84201</v>
      </c>
      <c r="G26" s="2">
        <v>255110181539.80801</v>
      </c>
      <c r="H26" s="2">
        <v>306144336269.51001</v>
      </c>
      <c r="I26" s="2">
        <v>344622003093.58099</v>
      </c>
      <c r="J26" s="2">
        <v>429028505365.078</v>
      </c>
      <c r="K26" s="2">
        <v>533609081852.89697</v>
      </c>
      <c r="L26" s="2">
        <v>439737508413.19202</v>
      </c>
      <c r="M26" s="2">
        <v>479834179020.33002</v>
      </c>
      <c r="N26" s="2">
        <v>528301269069.79901</v>
      </c>
      <c r="S26" s="2">
        <v>38</v>
      </c>
      <c r="T26" s="2">
        <v>35.799999999999997</v>
      </c>
      <c r="U26" s="2">
        <v>34.700000000000003</v>
      </c>
      <c r="V26" s="2">
        <v>34</v>
      </c>
      <c r="W26" s="2">
        <v>33.5</v>
      </c>
      <c r="X26" s="2">
        <v>33.4</v>
      </c>
      <c r="Y26" s="2">
        <v>33.200000000000003</v>
      </c>
      <c r="Z26" s="2">
        <v>33.200000000000003</v>
      </c>
      <c r="AE26" s="2">
        <v>2.1</v>
      </c>
      <c r="AF26" s="2">
        <v>0.9</v>
      </c>
      <c r="AG26" s="2">
        <v>0.6</v>
      </c>
      <c r="AH26" s="2">
        <v>0.4</v>
      </c>
      <c r="AI26" s="2">
        <v>0.2</v>
      </c>
      <c r="AJ26" s="2">
        <v>0.3</v>
      </c>
      <c r="AK26" s="2">
        <v>0.3</v>
      </c>
      <c r="AL26" s="2">
        <v>0.3</v>
      </c>
      <c r="AM26" s="2" t="s">
        <v>380</v>
      </c>
      <c r="AR26" s="2">
        <v>12.7</v>
      </c>
      <c r="AS26" s="2">
        <v>9</v>
      </c>
      <c r="AT26" s="2">
        <v>6.5</v>
      </c>
      <c r="AU26" s="2">
        <v>3.9</v>
      </c>
      <c r="AV26" s="2">
        <v>3</v>
      </c>
      <c r="AW26" s="2">
        <v>3.1</v>
      </c>
      <c r="AX26" s="2">
        <v>2.9</v>
      </c>
      <c r="AY26" s="2">
        <v>2.8</v>
      </c>
    </row>
    <row r="27" spans="1:51" s="2" customFormat="1" x14ac:dyDescent="0.25">
      <c r="A27" s="5" t="s">
        <v>387</v>
      </c>
      <c r="B27" s="2" t="s">
        <v>388</v>
      </c>
      <c r="C27" s="2">
        <v>118310710337.203</v>
      </c>
      <c r="D27" s="2">
        <v>121498889485.459</v>
      </c>
      <c r="E27" s="2">
        <v>134156091661.961</v>
      </c>
      <c r="F27" s="2">
        <v>164862142212.19</v>
      </c>
      <c r="G27" s="2">
        <v>189034502110.75201</v>
      </c>
      <c r="H27" s="2">
        <v>197180330804.62601</v>
      </c>
      <c r="I27" s="2">
        <v>208581694893.991</v>
      </c>
      <c r="J27" s="2">
        <v>240190803449.22</v>
      </c>
      <c r="K27" s="2">
        <v>262344779551.78</v>
      </c>
      <c r="L27" s="2">
        <v>243701635176.43799</v>
      </c>
      <c r="M27" s="2">
        <v>237880908317.65201</v>
      </c>
      <c r="N27" s="2">
        <v>244797226567.10901</v>
      </c>
      <c r="R27" s="2">
        <v>38.700000000000003</v>
      </c>
      <c r="S27" s="2">
        <v>38.9</v>
      </c>
      <c r="T27" s="2">
        <v>38.5</v>
      </c>
      <c r="U27" s="2">
        <v>38.1</v>
      </c>
      <c r="V27" s="2">
        <v>36.799999999999997</v>
      </c>
      <c r="W27" s="2">
        <v>36.6</v>
      </c>
      <c r="X27" s="2">
        <v>34.9</v>
      </c>
      <c r="Y27" s="2">
        <v>35.799999999999997</v>
      </c>
      <c r="Z27" s="2">
        <v>36.299999999999997</v>
      </c>
      <c r="AD27" s="2">
        <v>0.9</v>
      </c>
      <c r="AE27" s="2">
        <v>0.5</v>
      </c>
      <c r="AF27" s="2">
        <v>0.5</v>
      </c>
      <c r="AG27" s="2">
        <v>0.1</v>
      </c>
      <c r="AH27" s="2">
        <v>0.3</v>
      </c>
      <c r="AI27" s="2">
        <v>0.1</v>
      </c>
      <c r="AJ27" s="2">
        <v>0.2</v>
      </c>
      <c r="AK27" s="2">
        <v>0.1</v>
      </c>
      <c r="AL27" s="2">
        <v>0.5</v>
      </c>
      <c r="AM27" s="2" t="s">
        <v>388</v>
      </c>
      <c r="AQ27" s="2">
        <v>3.1</v>
      </c>
      <c r="AR27" s="2">
        <v>2.7</v>
      </c>
      <c r="AS27" s="2">
        <v>2.7</v>
      </c>
      <c r="AT27" s="2">
        <v>2</v>
      </c>
      <c r="AU27" s="2">
        <v>1.6</v>
      </c>
      <c r="AV27" s="2">
        <v>2.1</v>
      </c>
      <c r="AW27" s="2">
        <v>1.5</v>
      </c>
      <c r="AX27" s="2">
        <v>1.9</v>
      </c>
      <c r="AY27" s="2">
        <v>2.6</v>
      </c>
    </row>
    <row r="28" spans="1:51" s="2" customFormat="1" x14ac:dyDescent="0.25">
      <c r="A28" s="5" t="s">
        <v>445</v>
      </c>
      <c r="B28" s="2" t="s">
        <v>446</v>
      </c>
      <c r="C28" s="2">
        <v>262835454366.85501</v>
      </c>
      <c r="D28" s="2">
        <v>242395852494.409</v>
      </c>
      <c r="E28" s="2">
        <v>266849061835.659</v>
      </c>
      <c r="F28" s="2">
        <v>334337212322.07599</v>
      </c>
      <c r="G28" s="2">
        <v>385118044877.46503</v>
      </c>
      <c r="H28" s="2">
        <v>392218088878.77899</v>
      </c>
      <c r="I28" s="2">
        <v>423093437423.76202</v>
      </c>
      <c r="J28" s="2">
        <v>491252589217.021</v>
      </c>
      <c r="K28" s="2">
        <v>517706149201.19598</v>
      </c>
      <c r="L28" s="2">
        <v>436537014293.55402</v>
      </c>
      <c r="M28" s="2">
        <v>495812558843.31</v>
      </c>
      <c r="N28" s="2">
        <v>574094112972.73303</v>
      </c>
      <c r="O28" s="2">
        <v>27.2</v>
      </c>
      <c r="R28" s="2">
        <v>25.3</v>
      </c>
      <c r="S28" s="2">
        <v>26.1</v>
      </c>
      <c r="T28" s="2">
        <v>26.8</v>
      </c>
      <c r="U28" s="2">
        <v>26.4</v>
      </c>
      <c r="V28" s="2">
        <v>27.1</v>
      </c>
      <c r="W28" s="2">
        <v>28.1</v>
      </c>
      <c r="X28" s="2">
        <v>27.3</v>
      </c>
      <c r="Y28" s="2">
        <v>27.7</v>
      </c>
      <c r="Z28" s="2">
        <v>27.6</v>
      </c>
      <c r="AA28" s="2">
        <v>0</v>
      </c>
      <c r="AD28" s="2">
        <v>0.3</v>
      </c>
      <c r="AE28" s="2">
        <v>0.4</v>
      </c>
      <c r="AF28" s="2">
        <v>1</v>
      </c>
      <c r="AG28" s="2">
        <v>0.3</v>
      </c>
      <c r="AH28" s="2">
        <v>0.4</v>
      </c>
      <c r="AI28" s="2">
        <v>0.6</v>
      </c>
      <c r="AJ28" s="2">
        <v>0.4</v>
      </c>
      <c r="AK28" s="2">
        <v>0.5</v>
      </c>
      <c r="AL28" s="2">
        <v>0.5</v>
      </c>
      <c r="AM28" s="2" t="s">
        <v>446</v>
      </c>
      <c r="AN28" s="2">
        <v>0.2</v>
      </c>
      <c r="AQ28" s="2">
        <v>0.8</v>
      </c>
      <c r="AR28" s="2">
        <v>0.9</v>
      </c>
      <c r="AS28" s="2">
        <v>1.6</v>
      </c>
      <c r="AT28" s="2">
        <v>0.9</v>
      </c>
      <c r="AU28" s="2">
        <v>0.8</v>
      </c>
      <c r="AV28" s="2">
        <v>1</v>
      </c>
      <c r="AW28" s="2">
        <v>1</v>
      </c>
      <c r="AX28" s="2">
        <v>1.2</v>
      </c>
      <c r="AY28" s="2">
        <v>1.1000000000000001</v>
      </c>
    </row>
    <row r="29" spans="1:51" s="2" customFormat="1" x14ac:dyDescent="0.25">
      <c r="A29" s="5" t="s">
        <v>501</v>
      </c>
      <c r="B29" s="2" t="s">
        <v>502</v>
      </c>
      <c r="C29" s="2">
        <v>10252345464000</v>
      </c>
      <c r="D29" s="2">
        <v>10581821399000</v>
      </c>
      <c r="E29" s="2">
        <v>10936419054000</v>
      </c>
      <c r="F29" s="2">
        <v>11458243878000</v>
      </c>
      <c r="G29" s="2">
        <v>12213729147000</v>
      </c>
      <c r="H29" s="2">
        <v>13036640230000</v>
      </c>
      <c r="I29" s="2">
        <v>13814611414000</v>
      </c>
      <c r="J29" s="2">
        <v>14451858656000</v>
      </c>
      <c r="K29" s="2">
        <v>14712844084000</v>
      </c>
      <c r="L29" s="2">
        <v>14448933025000</v>
      </c>
      <c r="M29" s="2">
        <v>14992052727000</v>
      </c>
      <c r="N29" s="2">
        <v>15542581104000</v>
      </c>
      <c r="O29" s="2">
        <v>40.1</v>
      </c>
      <c r="S29" s="2">
        <v>40.299999999999997</v>
      </c>
      <c r="V29" s="2">
        <v>40.799999999999997</v>
      </c>
      <c r="Y29" s="2">
        <v>40</v>
      </c>
      <c r="AA29" s="2">
        <v>0.7</v>
      </c>
      <c r="AE29" s="2">
        <v>1</v>
      </c>
      <c r="AH29" s="2">
        <v>1</v>
      </c>
      <c r="AK29" s="2">
        <v>1</v>
      </c>
      <c r="AM29" s="2" t="s">
        <v>502</v>
      </c>
      <c r="AN29" s="2">
        <v>1.2</v>
      </c>
      <c r="AR29" s="2">
        <v>1.7</v>
      </c>
      <c r="AU29" s="2">
        <v>1.5</v>
      </c>
      <c r="AX29" s="2">
        <v>1.7</v>
      </c>
    </row>
    <row r="30" spans="1:51" x14ac:dyDescent="0.25">
      <c r="A30" s="4"/>
    </row>
    <row r="31" spans="1:51" x14ac:dyDescent="0.25">
      <c r="A31" s="4"/>
    </row>
    <row r="32" spans="1:51" x14ac:dyDescent="0.25">
      <c r="A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zoomScale="102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N29" sqref="N29"/>
    </sheetView>
  </sheetViews>
  <sheetFormatPr defaultRowHeight="15" x14ac:dyDescent="0.25"/>
  <cols>
    <col min="1" max="1" width="17.140625" customWidth="1"/>
  </cols>
  <sheetData>
    <row r="1" spans="1:14" s="1" customFormat="1" x14ac:dyDescent="0.25">
      <c r="A1" s="4" t="s">
        <v>0</v>
      </c>
      <c r="B1" s="4" t="s">
        <v>1</v>
      </c>
      <c r="C1" s="4" t="s">
        <v>535</v>
      </c>
      <c r="D1" s="4" t="s">
        <v>536</v>
      </c>
      <c r="E1" s="4" t="s">
        <v>537</v>
      </c>
      <c r="F1" s="4" t="s">
        <v>538</v>
      </c>
      <c r="G1" s="4" t="s">
        <v>539</v>
      </c>
      <c r="H1" s="4" t="s">
        <v>540</v>
      </c>
      <c r="I1" s="4" t="s">
        <v>541</v>
      </c>
      <c r="J1" s="4" t="s">
        <v>542</v>
      </c>
      <c r="K1" s="4" t="s">
        <v>543</v>
      </c>
      <c r="L1" s="4" t="s">
        <v>544</v>
      </c>
      <c r="M1" s="4" t="s">
        <v>545</v>
      </c>
      <c r="N1" s="4" t="s">
        <v>546</v>
      </c>
    </row>
    <row r="2" spans="1:14" s="2" customFormat="1" x14ac:dyDescent="0.25">
      <c r="A2" s="6" t="s">
        <v>17</v>
      </c>
      <c r="B2" s="1" t="s">
        <v>18</v>
      </c>
      <c r="C2" s="1">
        <v>51.1</v>
      </c>
      <c r="D2" s="1">
        <v>53.3</v>
      </c>
      <c r="E2" s="1">
        <v>53.8</v>
      </c>
      <c r="F2" s="1">
        <v>51.2</v>
      </c>
      <c r="G2" s="1">
        <v>48.6</v>
      </c>
      <c r="H2" s="1">
        <v>48</v>
      </c>
      <c r="I2" s="1">
        <v>46.7</v>
      </c>
      <c r="J2" s="1">
        <v>46.6</v>
      </c>
      <c r="K2" s="1">
        <v>45.3</v>
      </c>
      <c r="L2" s="1">
        <v>44.1</v>
      </c>
      <c r="M2" s="1">
        <v>44.5</v>
      </c>
      <c r="N2" s="1">
        <v>42.7</v>
      </c>
    </row>
    <row r="3" spans="1:14" s="2" customFormat="1" x14ac:dyDescent="0.25">
      <c r="A3" s="5" t="s">
        <v>27</v>
      </c>
      <c r="B3" s="2" t="s">
        <v>28</v>
      </c>
      <c r="C3" s="2">
        <v>28.8</v>
      </c>
      <c r="F3" s="2">
        <v>29.5</v>
      </c>
      <c r="G3" s="2">
        <v>29.8</v>
      </c>
      <c r="H3" s="2">
        <v>28.7</v>
      </c>
      <c r="I3" s="2">
        <v>29.6</v>
      </c>
      <c r="J3" s="2">
        <v>30.6</v>
      </c>
      <c r="K3" s="2">
        <v>30.4</v>
      </c>
      <c r="L3" s="2">
        <v>31.5</v>
      </c>
      <c r="M3" s="2">
        <v>30.3</v>
      </c>
      <c r="N3" s="2">
        <v>30.8</v>
      </c>
    </row>
    <row r="4" spans="1:14" s="2" customFormat="1" x14ac:dyDescent="0.25">
      <c r="A4" s="5" t="s">
        <v>33</v>
      </c>
      <c r="B4" s="2" t="s">
        <v>34</v>
      </c>
      <c r="C4" s="2">
        <v>33.1</v>
      </c>
      <c r="F4" s="2">
        <v>28.1</v>
      </c>
      <c r="G4" s="2">
        <v>30.5</v>
      </c>
      <c r="H4" s="2">
        <v>29.3</v>
      </c>
      <c r="I4" s="2">
        <v>28.1</v>
      </c>
      <c r="J4" s="2">
        <v>29.2</v>
      </c>
      <c r="K4" s="2">
        <v>28.4</v>
      </c>
      <c r="L4" s="2">
        <v>28.6</v>
      </c>
      <c r="M4" s="2">
        <v>28.4</v>
      </c>
      <c r="N4" s="2">
        <v>28.1</v>
      </c>
    </row>
    <row r="5" spans="1:14" s="2" customFormat="1" x14ac:dyDescent="0.25">
      <c r="A5" s="5" t="s">
        <v>41</v>
      </c>
      <c r="B5" s="2" t="s">
        <v>42</v>
      </c>
      <c r="I5" s="2">
        <v>35.700000000000003</v>
      </c>
      <c r="J5" s="2">
        <v>36.1</v>
      </c>
      <c r="K5" s="2">
        <v>33.6</v>
      </c>
      <c r="L5" s="2">
        <v>33.799999999999997</v>
      </c>
      <c r="M5" s="2">
        <v>35.700000000000003</v>
      </c>
      <c r="N5" s="2">
        <v>34.299999999999997</v>
      </c>
    </row>
    <row r="6" spans="1:14" s="2" customFormat="1" x14ac:dyDescent="0.25">
      <c r="A6" s="5" t="s">
        <v>69</v>
      </c>
      <c r="B6" s="2" t="s">
        <v>70</v>
      </c>
      <c r="C6" s="2">
        <v>33.299999999999997</v>
      </c>
      <c r="G6" s="2">
        <v>33.700000000000003</v>
      </c>
      <c r="J6" s="2">
        <v>33.799999999999997</v>
      </c>
      <c r="M6" s="2">
        <v>33.6</v>
      </c>
    </row>
    <row r="7" spans="1:14" s="2" customFormat="1" x14ac:dyDescent="0.25">
      <c r="A7" s="5" t="s">
        <v>73</v>
      </c>
      <c r="B7" s="2" t="s">
        <v>74</v>
      </c>
      <c r="C7" s="2">
        <v>33.4</v>
      </c>
      <c r="E7" s="2">
        <v>31.7</v>
      </c>
      <c r="I7" s="2">
        <v>33.9</v>
      </c>
      <c r="J7" s="2">
        <v>34.299999999999997</v>
      </c>
      <c r="K7" s="2">
        <v>33.799999999999997</v>
      </c>
      <c r="L7" s="2">
        <v>32.9</v>
      </c>
      <c r="M7" s="2">
        <v>32.6</v>
      </c>
      <c r="N7" s="2">
        <v>31.7</v>
      </c>
    </row>
    <row r="8" spans="1:14" s="2" customFormat="1" x14ac:dyDescent="0.25">
      <c r="A8" s="5" t="s">
        <v>109</v>
      </c>
      <c r="B8" s="2" t="s">
        <v>110</v>
      </c>
      <c r="C8" s="2">
        <v>28.8</v>
      </c>
      <c r="D8" s="2">
        <v>30.3</v>
      </c>
      <c r="E8" s="2">
        <v>29.9</v>
      </c>
      <c r="F8" s="2">
        <v>30</v>
      </c>
      <c r="G8" s="2">
        <v>30.4</v>
      </c>
      <c r="H8" s="2">
        <v>32.1</v>
      </c>
      <c r="I8" s="2">
        <v>31.3</v>
      </c>
      <c r="J8" s="2">
        <v>31.3</v>
      </c>
      <c r="K8" s="2">
        <v>31.1</v>
      </c>
      <c r="L8" s="2">
        <v>30.5</v>
      </c>
      <c r="M8" s="2">
        <v>30.2</v>
      </c>
      <c r="N8" s="2">
        <v>30.5</v>
      </c>
    </row>
    <row r="9" spans="1:14" s="2" customFormat="1" x14ac:dyDescent="0.25">
      <c r="A9" s="5" t="s">
        <v>115</v>
      </c>
      <c r="B9" s="2" t="s">
        <v>116</v>
      </c>
      <c r="C9" s="2">
        <v>23.8</v>
      </c>
      <c r="F9" s="2">
        <v>25.6</v>
      </c>
      <c r="G9" s="2">
        <v>24.9</v>
      </c>
      <c r="H9" s="2">
        <v>25.2</v>
      </c>
      <c r="I9" s="2">
        <v>25.9</v>
      </c>
      <c r="J9" s="2">
        <v>26.2</v>
      </c>
      <c r="K9" s="2">
        <v>25.2</v>
      </c>
      <c r="L9" s="2">
        <v>26.7</v>
      </c>
      <c r="M9" s="2">
        <v>27.2</v>
      </c>
      <c r="N9" s="2">
        <v>27.3</v>
      </c>
    </row>
    <row r="10" spans="1:14" s="2" customFormat="1" x14ac:dyDescent="0.25">
      <c r="A10" s="5" t="s">
        <v>139</v>
      </c>
      <c r="B10" s="2" t="s">
        <v>140</v>
      </c>
      <c r="C10" s="2">
        <v>34.299999999999997</v>
      </c>
      <c r="F10" s="2">
        <v>31.8</v>
      </c>
      <c r="G10" s="2">
        <v>33.299999999999997</v>
      </c>
      <c r="H10" s="2">
        <v>32.4</v>
      </c>
      <c r="I10" s="2">
        <v>33.5</v>
      </c>
      <c r="J10" s="2">
        <v>34.1</v>
      </c>
      <c r="K10" s="2">
        <v>34.200000000000003</v>
      </c>
      <c r="L10" s="2">
        <v>34.9</v>
      </c>
      <c r="M10" s="2">
        <v>35.200000000000003</v>
      </c>
      <c r="N10" s="2">
        <v>35.700000000000003</v>
      </c>
    </row>
    <row r="11" spans="1:14" s="2" customFormat="1" x14ac:dyDescent="0.25">
      <c r="A11" s="5" t="s">
        <v>141</v>
      </c>
      <c r="B11" s="2" t="s">
        <v>142</v>
      </c>
      <c r="F11" s="2">
        <v>37.200000000000003</v>
      </c>
      <c r="G11" s="2">
        <v>33.6</v>
      </c>
      <c r="H11" s="2">
        <v>33.4</v>
      </c>
      <c r="I11" s="2">
        <v>33.700000000000003</v>
      </c>
      <c r="J11" s="2">
        <v>31.2</v>
      </c>
      <c r="K11" s="2">
        <v>31.9</v>
      </c>
      <c r="L11" s="2">
        <v>31.4</v>
      </c>
      <c r="M11" s="2">
        <v>32</v>
      </c>
      <c r="N11" s="2">
        <v>32.5</v>
      </c>
    </row>
    <row r="12" spans="1:14" s="2" customFormat="1" x14ac:dyDescent="0.25">
      <c r="A12" s="5" t="s">
        <v>149</v>
      </c>
      <c r="B12" s="2" t="s">
        <v>150</v>
      </c>
      <c r="C12" s="2">
        <v>27.2</v>
      </c>
      <c r="F12" s="2">
        <v>27.7</v>
      </c>
      <c r="G12" s="2">
        <v>27.9</v>
      </c>
      <c r="H12" s="2">
        <v>27.6</v>
      </c>
      <c r="I12" s="2">
        <v>28</v>
      </c>
      <c r="J12" s="2">
        <v>28.3</v>
      </c>
      <c r="K12" s="2">
        <v>27.8</v>
      </c>
      <c r="L12" s="2">
        <v>27.5</v>
      </c>
      <c r="M12" s="2">
        <v>27.7</v>
      </c>
      <c r="N12" s="2">
        <v>27.6</v>
      </c>
    </row>
    <row r="13" spans="1:14" s="2" customFormat="1" x14ac:dyDescent="0.25">
      <c r="A13" s="5" t="s">
        <v>153</v>
      </c>
      <c r="B13" s="2" t="s">
        <v>154</v>
      </c>
      <c r="C13" s="2">
        <v>31.1</v>
      </c>
      <c r="F13" s="2">
        <v>31.4</v>
      </c>
      <c r="G13" s="2">
        <v>30.6</v>
      </c>
      <c r="H13" s="2">
        <v>29.8</v>
      </c>
      <c r="I13" s="2">
        <v>29.7</v>
      </c>
      <c r="J13" s="2">
        <v>32.4</v>
      </c>
      <c r="K13" s="2">
        <v>33</v>
      </c>
      <c r="L13" s="2">
        <v>32.700000000000003</v>
      </c>
      <c r="M13" s="2">
        <v>33.700000000000003</v>
      </c>
      <c r="N13" s="2">
        <v>33.299999999999997</v>
      </c>
    </row>
    <row r="14" spans="1:14" s="2" customFormat="1" x14ac:dyDescent="0.25">
      <c r="A14" s="5" t="s">
        <v>161</v>
      </c>
      <c r="B14" s="2" t="s">
        <v>162</v>
      </c>
      <c r="G14" s="2">
        <v>36</v>
      </c>
      <c r="H14" s="2">
        <v>34.299999999999997</v>
      </c>
      <c r="I14" s="2">
        <v>34.6</v>
      </c>
      <c r="J14" s="2">
        <v>35.700000000000003</v>
      </c>
      <c r="K14" s="2">
        <v>34.1</v>
      </c>
      <c r="L14" s="2">
        <v>34.299999999999997</v>
      </c>
      <c r="M14" s="2">
        <v>34.4</v>
      </c>
      <c r="N14" s="2">
        <v>33.200000000000003</v>
      </c>
    </row>
    <row r="15" spans="1:14" s="2" customFormat="1" x14ac:dyDescent="0.25">
      <c r="A15" s="5" t="s">
        <v>177</v>
      </c>
      <c r="B15" s="2" t="s">
        <v>178</v>
      </c>
      <c r="C15" s="2">
        <v>34.200000000000003</v>
      </c>
      <c r="F15" s="2">
        <v>32.799999999999997</v>
      </c>
      <c r="G15" s="2">
        <v>33.6</v>
      </c>
      <c r="H15" s="2">
        <v>34.6</v>
      </c>
      <c r="I15" s="2">
        <v>35.1</v>
      </c>
      <c r="J15" s="2">
        <v>34</v>
      </c>
      <c r="K15" s="2">
        <v>33.6</v>
      </c>
      <c r="L15" s="2">
        <v>33.6</v>
      </c>
      <c r="M15" s="2">
        <v>34.1</v>
      </c>
      <c r="N15" s="2">
        <v>34.799999999999997</v>
      </c>
    </row>
    <row r="16" spans="1:14" s="2" customFormat="1" x14ac:dyDescent="0.25">
      <c r="A16" s="5" t="s">
        <v>201</v>
      </c>
      <c r="B16" s="2" t="s">
        <v>202</v>
      </c>
      <c r="G16" s="2">
        <v>29.9</v>
      </c>
      <c r="H16" s="2">
        <v>34.700000000000003</v>
      </c>
      <c r="I16" s="2">
        <v>28.3</v>
      </c>
      <c r="J16" s="2">
        <v>27.9</v>
      </c>
      <c r="K16" s="2">
        <v>27.5</v>
      </c>
      <c r="L16" s="2">
        <v>27</v>
      </c>
      <c r="M16" s="2">
        <v>29.4</v>
      </c>
      <c r="N16" s="2">
        <v>29.2</v>
      </c>
    </row>
    <row r="17" spans="1:14" s="2" customFormat="1" x14ac:dyDescent="0.25">
      <c r="A17" s="5" t="s">
        <v>221</v>
      </c>
      <c r="B17" s="2" t="s">
        <v>222</v>
      </c>
      <c r="C17" s="2">
        <v>33</v>
      </c>
      <c r="F17" s="2">
        <v>32.9</v>
      </c>
      <c r="G17" s="2">
        <v>33.6</v>
      </c>
      <c r="H17" s="2">
        <v>33.799999999999997</v>
      </c>
      <c r="I17" s="2">
        <v>32.700000000000003</v>
      </c>
      <c r="J17" s="2">
        <v>31.9</v>
      </c>
      <c r="K17" s="2">
        <v>30.9</v>
      </c>
      <c r="L17" s="2">
        <v>32.700000000000003</v>
      </c>
      <c r="M17" s="2">
        <v>32.299999999999997</v>
      </c>
      <c r="N17" s="2">
        <v>32.9</v>
      </c>
    </row>
    <row r="18" spans="1:14" s="2" customFormat="1" x14ac:dyDescent="0.25">
      <c r="A18" s="5" t="s">
        <v>227</v>
      </c>
      <c r="B18" s="2" t="s">
        <v>228</v>
      </c>
      <c r="C18" s="2" t="s">
        <v>4</v>
      </c>
      <c r="G18" s="2">
        <v>26.8</v>
      </c>
      <c r="H18" s="2">
        <v>28</v>
      </c>
      <c r="I18" s="2">
        <v>29</v>
      </c>
      <c r="J18" s="2">
        <v>30.2</v>
      </c>
      <c r="K18" s="2">
        <v>29.5</v>
      </c>
      <c r="L18" s="2">
        <v>31.8</v>
      </c>
      <c r="M18" s="2">
        <v>28.7</v>
      </c>
      <c r="N18" s="2">
        <v>26.2</v>
      </c>
    </row>
    <row r="19" spans="1:14" s="2" customFormat="1" x14ac:dyDescent="0.25">
      <c r="A19" s="5" t="s">
        <v>231</v>
      </c>
      <c r="B19" s="2" t="s">
        <v>232</v>
      </c>
      <c r="C19" s="2">
        <v>35.299999999999997</v>
      </c>
      <c r="F19" s="2">
        <v>34.9</v>
      </c>
      <c r="G19" s="2">
        <v>34.299999999999997</v>
      </c>
      <c r="H19" s="2">
        <v>33.799999999999997</v>
      </c>
      <c r="I19" s="2">
        <v>33.700000000000003</v>
      </c>
      <c r="J19" s="2">
        <v>32.9</v>
      </c>
      <c r="K19" s="2">
        <v>33.799999999999997</v>
      </c>
      <c r="L19" s="2">
        <v>33.799999999999997</v>
      </c>
      <c r="M19" s="2">
        <v>34.700000000000003</v>
      </c>
      <c r="N19" s="2">
        <v>35.1</v>
      </c>
    </row>
    <row r="20" spans="1:14" s="3" customFormat="1" x14ac:dyDescent="0.25">
      <c r="A20" s="7" t="s">
        <v>237</v>
      </c>
      <c r="B20" s="3" t="s">
        <v>238</v>
      </c>
      <c r="K20" s="3">
        <v>34.799999999999997</v>
      </c>
      <c r="M20" s="3">
        <v>32.1</v>
      </c>
    </row>
    <row r="21" spans="1:14" s="2" customFormat="1" x14ac:dyDescent="0.25">
      <c r="A21" s="5" t="s">
        <v>285</v>
      </c>
      <c r="B21" s="2" t="s">
        <v>286</v>
      </c>
      <c r="G21" s="2">
        <v>37</v>
      </c>
      <c r="H21" s="2">
        <v>35.299999999999997</v>
      </c>
      <c r="I21" s="2">
        <v>34.4</v>
      </c>
      <c r="J21" s="2">
        <v>34.799999999999997</v>
      </c>
      <c r="K21" s="2">
        <v>35.700000000000003</v>
      </c>
      <c r="L21" s="2">
        <v>37.200000000000003</v>
      </c>
      <c r="M21" s="2">
        <v>33.6</v>
      </c>
      <c r="N21" s="2">
        <v>32.5</v>
      </c>
    </row>
    <row r="22" spans="1:14" s="2" customFormat="1" x14ac:dyDescent="0.25">
      <c r="A22" s="5" t="s">
        <v>287</v>
      </c>
      <c r="B22" s="2" t="s">
        <v>288</v>
      </c>
      <c r="C22" s="2">
        <v>30.4</v>
      </c>
      <c r="F22" s="2">
        <v>30.2</v>
      </c>
      <c r="G22" s="2">
        <v>30.2</v>
      </c>
      <c r="H22" s="2">
        <v>30.8</v>
      </c>
      <c r="I22" s="2">
        <v>30.9</v>
      </c>
      <c r="J22" s="2">
        <v>31.1</v>
      </c>
      <c r="K22" s="2">
        <v>32.6</v>
      </c>
      <c r="L22" s="2">
        <v>31.2</v>
      </c>
      <c r="M22" s="2">
        <v>30.5</v>
      </c>
      <c r="N22" s="2">
        <v>32.1</v>
      </c>
    </row>
    <row r="23" spans="1:14" s="2" customFormat="1" x14ac:dyDescent="0.25">
      <c r="A23" s="5" t="s">
        <v>351</v>
      </c>
      <c r="B23" s="2" t="s">
        <v>352</v>
      </c>
      <c r="G23" s="2">
        <v>29.8</v>
      </c>
      <c r="H23" s="2">
        <v>29</v>
      </c>
      <c r="I23" s="2">
        <v>30</v>
      </c>
      <c r="J23" s="2">
        <v>29.6</v>
      </c>
      <c r="K23" s="2">
        <v>29.3</v>
      </c>
      <c r="L23" s="2">
        <v>27.9</v>
      </c>
      <c r="M23" s="2">
        <v>27.8</v>
      </c>
      <c r="N23" s="2">
        <v>27.8</v>
      </c>
    </row>
    <row r="24" spans="1:14" s="3" customFormat="1" x14ac:dyDescent="0.25">
      <c r="A24" s="5" t="s">
        <v>353</v>
      </c>
      <c r="B24" s="2" t="s">
        <v>354</v>
      </c>
      <c r="C24" s="2">
        <v>27.4</v>
      </c>
      <c r="D24" s="2"/>
      <c r="E24" s="2"/>
      <c r="F24" s="2">
        <v>27.6</v>
      </c>
      <c r="G24" s="2">
        <v>31.6</v>
      </c>
      <c r="H24" s="2">
        <v>30.6</v>
      </c>
      <c r="I24" s="2">
        <v>26.4</v>
      </c>
      <c r="J24" s="2">
        <v>27.1</v>
      </c>
      <c r="K24" s="2">
        <v>27</v>
      </c>
      <c r="L24" s="2">
        <v>26.2</v>
      </c>
      <c r="M24" s="2">
        <v>25.7</v>
      </c>
      <c r="N24" s="2">
        <v>25.3</v>
      </c>
    </row>
    <row r="25" spans="1:14" s="2" customFormat="1" x14ac:dyDescent="0.25">
      <c r="A25" s="7" t="s">
        <v>359</v>
      </c>
      <c r="B25" s="3" t="s">
        <v>360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s="2" customFormat="1" x14ac:dyDescent="0.25">
      <c r="A26" s="5" t="s">
        <v>379</v>
      </c>
      <c r="B26" s="2" t="s">
        <v>380</v>
      </c>
      <c r="G26" s="2">
        <v>38</v>
      </c>
      <c r="H26" s="2">
        <v>35.799999999999997</v>
      </c>
      <c r="I26" s="2">
        <v>34.700000000000003</v>
      </c>
      <c r="J26" s="2">
        <v>34</v>
      </c>
      <c r="K26" s="2">
        <v>33.5</v>
      </c>
      <c r="L26" s="2">
        <v>33.4</v>
      </c>
      <c r="M26" s="2">
        <v>33.200000000000003</v>
      </c>
      <c r="N26" s="2">
        <v>33.200000000000003</v>
      </c>
    </row>
    <row r="27" spans="1:14" s="2" customFormat="1" x14ac:dyDescent="0.25">
      <c r="A27" s="5" t="s">
        <v>387</v>
      </c>
      <c r="B27" s="2" t="s">
        <v>388</v>
      </c>
      <c r="F27" s="2">
        <v>38.700000000000003</v>
      </c>
      <c r="G27" s="2">
        <v>38.9</v>
      </c>
      <c r="H27" s="2">
        <v>38.5</v>
      </c>
      <c r="I27" s="2">
        <v>38.1</v>
      </c>
      <c r="J27" s="2">
        <v>36.799999999999997</v>
      </c>
      <c r="K27" s="2">
        <v>36.6</v>
      </c>
      <c r="L27" s="2">
        <v>34.9</v>
      </c>
      <c r="M27" s="2">
        <v>35.799999999999997</v>
      </c>
      <c r="N27" s="2">
        <v>36.299999999999997</v>
      </c>
    </row>
    <row r="28" spans="1:14" s="2" customFormat="1" x14ac:dyDescent="0.25">
      <c r="A28" s="5" t="s">
        <v>445</v>
      </c>
      <c r="B28" s="2" t="s">
        <v>446</v>
      </c>
      <c r="C28" s="2">
        <v>27.2</v>
      </c>
      <c r="F28" s="2">
        <v>25.3</v>
      </c>
      <c r="G28" s="2">
        <v>26.1</v>
      </c>
      <c r="H28" s="2">
        <v>26.8</v>
      </c>
      <c r="I28" s="2">
        <v>26.4</v>
      </c>
      <c r="J28" s="2">
        <v>27.1</v>
      </c>
      <c r="K28" s="2">
        <v>28.1</v>
      </c>
      <c r="L28" s="2">
        <v>27.3</v>
      </c>
      <c r="M28" s="2">
        <v>27.7</v>
      </c>
      <c r="N28" s="2">
        <v>27.6</v>
      </c>
    </row>
    <row r="29" spans="1:14" x14ac:dyDescent="0.25">
      <c r="A29" s="5" t="s">
        <v>501</v>
      </c>
      <c r="B29" s="2" t="s">
        <v>502</v>
      </c>
      <c r="C29" s="2">
        <v>40.1</v>
      </c>
      <c r="D29" s="2"/>
      <c r="E29" s="2"/>
      <c r="F29" s="2"/>
      <c r="G29" s="2">
        <v>40.299999999999997</v>
      </c>
      <c r="H29" s="2"/>
      <c r="I29" s="2"/>
      <c r="J29" s="2">
        <v>40.799999999999997</v>
      </c>
      <c r="K29" s="2"/>
      <c r="L29" s="2"/>
      <c r="M29" s="2">
        <v>40</v>
      </c>
      <c r="N29" s="2"/>
    </row>
    <row r="32" spans="1:14" x14ac:dyDescent="0.25">
      <c r="G32" t="s">
        <v>531</v>
      </c>
      <c r="H32">
        <v>32.1</v>
      </c>
      <c r="I32" t="s">
        <v>532</v>
      </c>
    </row>
    <row r="33" spans="7:9" x14ac:dyDescent="0.25">
      <c r="G33" t="s">
        <v>531</v>
      </c>
      <c r="H33">
        <v>34.799999999999997</v>
      </c>
      <c r="I33" t="s">
        <v>533</v>
      </c>
    </row>
    <row r="34" spans="7:9" x14ac:dyDescent="0.25">
      <c r="G34" t="s">
        <v>531</v>
      </c>
      <c r="H34">
        <v>25.44</v>
      </c>
      <c r="I34" t="s">
        <v>534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8063-8755-441C-A1CF-39BFCBCE0422}">
  <dimension ref="A1:AA29"/>
  <sheetViews>
    <sheetView workbookViewId="0">
      <pane xSplit="1" ySplit="1" topLeftCell="R2" activePane="bottomRight" state="frozen"/>
      <selection activeCell="J13" sqref="J13"/>
      <selection pane="topRight" activeCell="J13" sqref="J13"/>
      <selection pane="bottomLeft" activeCell="J13" sqref="J13"/>
      <selection pane="bottomRight" activeCell="C1" sqref="C1:AA29"/>
    </sheetView>
  </sheetViews>
  <sheetFormatPr defaultRowHeight="15" x14ac:dyDescent="0.25"/>
  <cols>
    <col min="1" max="1" width="8.85546875" style="4"/>
  </cols>
  <sheetData>
    <row r="1" spans="1:27" s="4" customFormat="1" x14ac:dyDescent="0.25">
      <c r="A1" s="4" t="s">
        <v>0</v>
      </c>
      <c r="B1" s="4" t="s">
        <v>1</v>
      </c>
      <c r="C1" s="4" t="s">
        <v>559</v>
      </c>
      <c r="D1" s="4" t="s">
        <v>560</v>
      </c>
      <c r="E1" s="4" t="s">
        <v>561</v>
      </c>
      <c r="F1" s="4" t="s">
        <v>562</v>
      </c>
      <c r="G1" s="4" t="s">
        <v>563</v>
      </c>
      <c r="H1" s="4" t="s">
        <v>564</v>
      </c>
      <c r="I1" s="4" t="s">
        <v>565</v>
      </c>
      <c r="J1" s="4" t="s">
        <v>566</v>
      </c>
      <c r="K1" s="4" t="s">
        <v>567</v>
      </c>
      <c r="L1" s="4" t="s">
        <v>568</v>
      </c>
      <c r="M1" s="4" t="s">
        <v>569</v>
      </c>
      <c r="N1" s="4" t="s">
        <v>570</v>
      </c>
      <c r="O1" s="4" t="s">
        <v>1</v>
      </c>
      <c r="P1" s="4" t="s">
        <v>547</v>
      </c>
      <c r="Q1" s="4" t="s">
        <v>548</v>
      </c>
      <c r="R1" s="4" t="s">
        <v>549</v>
      </c>
      <c r="S1" s="4" t="s">
        <v>550</v>
      </c>
      <c r="T1" s="4" t="s">
        <v>551</v>
      </c>
      <c r="U1" s="4" t="s">
        <v>552</v>
      </c>
      <c r="V1" s="4" t="s">
        <v>553</v>
      </c>
      <c r="W1" s="4" t="s">
        <v>554</v>
      </c>
      <c r="X1" s="4" t="s">
        <v>555</v>
      </c>
      <c r="Y1" s="4" t="s">
        <v>556</v>
      </c>
      <c r="Z1" s="4" t="s">
        <v>557</v>
      </c>
      <c r="AA1" s="4" t="s">
        <v>558</v>
      </c>
    </row>
    <row r="2" spans="1:27" s="2" customFormat="1" x14ac:dyDescent="0.25">
      <c r="A2" s="5" t="s">
        <v>17</v>
      </c>
      <c r="B2" s="2" t="s">
        <v>18</v>
      </c>
      <c r="C2" s="2">
        <v>6.8</v>
      </c>
      <c r="D2" s="2">
        <v>10.7</v>
      </c>
      <c r="E2" s="2">
        <v>16.899999999999999</v>
      </c>
      <c r="F2" s="2">
        <v>8.4</v>
      </c>
      <c r="G2" s="2">
        <v>6.4</v>
      </c>
      <c r="H2" s="2">
        <v>4.8</v>
      </c>
      <c r="I2" s="2">
        <v>3.9</v>
      </c>
      <c r="J2" s="2">
        <v>3.3</v>
      </c>
      <c r="K2" s="2">
        <v>3.3</v>
      </c>
      <c r="L2" s="2">
        <v>3</v>
      </c>
      <c r="M2" s="2">
        <v>2.8</v>
      </c>
      <c r="N2" s="2">
        <v>1.1000000000000001</v>
      </c>
      <c r="O2" s="2" t="s">
        <v>18</v>
      </c>
      <c r="P2" s="2">
        <v>31.5</v>
      </c>
      <c r="Q2" s="2">
        <v>36.9</v>
      </c>
      <c r="R2" s="2">
        <v>49.9</v>
      </c>
      <c r="S2" s="2">
        <v>34.200000000000003</v>
      </c>
      <c r="T2" s="2">
        <v>29.4</v>
      </c>
      <c r="U2" s="2">
        <v>25.5</v>
      </c>
      <c r="V2" s="2">
        <v>20.9</v>
      </c>
      <c r="W2" s="2">
        <v>19.8</v>
      </c>
      <c r="X2" s="2">
        <v>17.7</v>
      </c>
      <c r="Y2" s="2">
        <v>16.2</v>
      </c>
      <c r="Z2" s="2">
        <v>15.3</v>
      </c>
      <c r="AA2" s="2">
        <v>11.5</v>
      </c>
    </row>
    <row r="3" spans="1:27" s="2" customFormat="1" x14ac:dyDescent="0.25">
      <c r="A3" s="5" t="s">
        <v>27</v>
      </c>
      <c r="B3" s="2" t="s">
        <v>28</v>
      </c>
      <c r="C3" s="2">
        <v>0.2</v>
      </c>
      <c r="F3" s="2">
        <v>0.3</v>
      </c>
      <c r="G3" s="2">
        <v>0.1</v>
      </c>
      <c r="H3" s="2">
        <v>0.2</v>
      </c>
      <c r="I3" s="2">
        <v>0.1</v>
      </c>
      <c r="J3" s="2">
        <v>0.4</v>
      </c>
      <c r="K3" s="2">
        <v>0.5</v>
      </c>
      <c r="L3" s="2">
        <v>0.7</v>
      </c>
      <c r="M3" s="2">
        <v>0.5</v>
      </c>
      <c r="N3" s="2">
        <v>0.4</v>
      </c>
      <c r="O3" s="2" t="s">
        <v>28</v>
      </c>
      <c r="P3" s="2">
        <v>0.2</v>
      </c>
      <c r="S3" s="2">
        <v>0.6</v>
      </c>
      <c r="T3" s="2">
        <v>0.3</v>
      </c>
      <c r="U3" s="2">
        <v>0.4</v>
      </c>
      <c r="V3" s="2">
        <v>0.4</v>
      </c>
      <c r="W3" s="2">
        <v>0.7</v>
      </c>
      <c r="X3" s="2">
        <v>0.9</v>
      </c>
      <c r="Y3" s="2">
        <v>1</v>
      </c>
      <c r="Z3" s="2">
        <v>0.8</v>
      </c>
      <c r="AA3" s="2">
        <v>1</v>
      </c>
    </row>
    <row r="4" spans="1:27" s="2" customFormat="1" x14ac:dyDescent="0.25">
      <c r="A4" s="5" t="s">
        <v>33</v>
      </c>
      <c r="B4" s="2" t="s">
        <v>34</v>
      </c>
      <c r="C4" s="2">
        <v>0.3</v>
      </c>
      <c r="F4" s="2">
        <v>0.3</v>
      </c>
      <c r="G4" s="2">
        <v>0.1</v>
      </c>
      <c r="H4" s="2">
        <v>0.2</v>
      </c>
      <c r="I4" s="2">
        <v>0.2</v>
      </c>
      <c r="J4" s="2">
        <v>0.2</v>
      </c>
      <c r="K4" s="2">
        <v>0.1</v>
      </c>
      <c r="L4" s="2">
        <v>0.1</v>
      </c>
      <c r="M4" s="2">
        <v>0.1</v>
      </c>
      <c r="N4" s="2">
        <v>0.2</v>
      </c>
      <c r="O4" s="2" t="s">
        <v>34</v>
      </c>
      <c r="P4" s="2">
        <v>0.7</v>
      </c>
      <c r="S4" s="2">
        <v>0.7</v>
      </c>
      <c r="T4" s="2">
        <v>0.2</v>
      </c>
      <c r="U4" s="2">
        <v>0.5</v>
      </c>
      <c r="V4" s="2">
        <v>0.4</v>
      </c>
      <c r="W4" s="2">
        <v>0.3</v>
      </c>
      <c r="X4" s="2">
        <v>0.3</v>
      </c>
      <c r="Y4" s="2">
        <v>0.3</v>
      </c>
      <c r="Z4" s="2">
        <v>0.4</v>
      </c>
      <c r="AA4" s="2">
        <v>0.5</v>
      </c>
    </row>
    <row r="5" spans="1:27" s="2" customFormat="1" x14ac:dyDescent="0.25">
      <c r="A5" s="5" t="s">
        <v>41</v>
      </c>
      <c r="B5" s="2" t="s">
        <v>42</v>
      </c>
      <c r="I5" s="2">
        <v>5.6</v>
      </c>
      <c r="J5" s="2">
        <v>1.8</v>
      </c>
      <c r="K5" s="2">
        <v>1.2</v>
      </c>
      <c r="L5" s="2">
        <v>1.3</v>
      </c>
      <c r="M5" s="2">
        <v>2</v>
      </c>
      <c r="N5" s="2">
        <v>2.4</v>
      </c>
      <c r="O5" s="2" t="s">
        <v>42</v>
      </c>
      <c r="V5" s="2">
        <v>24</v>
      </c>
      <c r="W5" s="2">
        <v>12.2</v>
      </c>
      <c r="X5" s="2">
        <v>9.1</v>
      </c>
      <c r="Y5" s="2">
        <v>9</v>
      </c>
      <c r="Z5" s="2">
        <v>11.4</v>
      </c>
      <c r="AA5" s="2">
        <v>11.9</v>
      </c>
    </row>
    <row r="6" spans="1:27" s="2" customFormat="1" x14ac:dyDescent="0.25">
      <c r="A6" s="5" t="s">
        <v>69</v>
      </c>
      <c r="B6" s="2" t="s">
        <v>70</v>
      </c>
      <c r="C6" s="2">
        <v>0.2</v>
      </c>
      <c r="G6" s="2">
        <v>0.2</v>
      </c>
      <c r="J6" s="2">
        <v>0.2</v>
      </c>
      <c r="M6" s="2">
        <v>0.2</v>
      </c>
      <c r="O6" s="2" t="s">
        <v>70</v>
      </c>
      <c r="P6" s="2">
        <v>0.7</v>
      </c>
      <c r="T6" s="2">
        <v>0.7</v>
      </c>
      <c r="W6" s="2">
        <v>0.5</v>
      </c>
      <c r="Z6" s="2">
        <v>0.5</v>
      </c>
    </row>
    <row r="7" spans="1:27" s="2" customFormat="1" x14ac:dyDescent="0.25">
      <c r="A7" s="5" t="s">
        <v>73</v>
      </c>
      <c r="B7" s="2" t="s">
        <v>74</v>
      </c>
      <c r="C7" s="2">
        <v>0</v>
      </c>
      <c r="E7" s="2">
        <v>0</v>
      </c>
      <c r="I7" s="2">
        <v>0</v>
      </c>
      <c r="J7" s="2">
        <v>0</v>
      </c>
      <c r="K7" s="2">
        <v>0.1</v>
      </c>
      <c r="L7" s="2">
        <v>0</v>
      </c>
      <c r="M7" s="2">
        <v>0</v>
      </c>
      <c r="N7" s="2">
        <v>0</v>
      </c>
      <c r="O7" s="2" t="s">
        <v>74</v>
      </c>
      <c r="P7" s="2">
        <v>0.2</v>
      </c>
      <c r="R7" s="2">
        <v>0.2</v>
      </c>
      <c r="V7" s="2">
        <v>0.3</v>
      </c>
      <c r="W7" s="2">
        <v>0.3</v>
      </c>
      <c r="X7" s="2">
        <v>0.3</v>
      </c>
      <c r="Y7" s="2">
        <v>0.2</v>
      </c>
      <c r="Z7" s="2">
        <v>0.2</v>
      </c>
      <c r="AA7" s="2">
        <v>0</v>
      </c>
    </row>
    <row r="8" spans="1:27" s="2" customFormat="1" x14ac:dyDescent="0.25">
      <c r="A8" s="5" t="s">
        <v>109</v>
      </c>
      <c r="B8" s="2" t="s">
        <v>110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0.2</v>
      </c>
      <c r="L8" s="2">
        <v>0</v>
      </c>
      <c r="M8" s="2">
        <v>0</v>
      </c>
      <c r="N8" s="2">
        <v>0</v>
      </c>
      <c r="O8" s="2" t="s">
        <v>110</v>
      </c>
      <c r="P8" s="2">
        <v>0.2</v>
      </c>
      <c r="Q8" s="2">
        <v>0.2</v>
      </c>
      <c r="R8" s="2">
        <v>0.2</v>
      </c>
      <c r="S8" s="2">
        <v>0.2</v>
      </c>
      <c r="T8" s="2">
        <v>0.2</v>
      </c>
      <c r="U8" s="2">
        <v>0.2</v>
      </c>
      <c r="V8" s="2">
        <v>0</v>
      </c>
      <c r="W8" s="2">
        <v>0.2</v>
      </c>
      <c r="X8" s="2">
        <v>0.2</v>
      </c>
      <c r="Y8" s="2">
        <v>0.2</v>
      </c>
      <c r="Z8" s="2">
        <v>0.2</v>
      </c>
      <c r="AA8" s="2">
        <v>0.2</v>
      </c>
    </row>
    <row r="9" spans="1:27" s="2" customFormat="1" x14ac:dyDescent="0.25">
      <c r="A9" s="5" t="s">
        <v>115</v>
      </c>
      <c r="B9" s="2" t="s">
        <v>116</v>
      </c>
      <c r="C9" s="2">
        <v>0</v>
      </c>
      <c r="F9" s="2">
        <v>0.3</v>
      </c>
      <c r="G9" s="2">
        <v>0.3</v>
      </c>
      <c r="H9" s="2">
        <v>0.3</v>
      </c>
      <c r="I9" s="2">
        <v>0.1</v>
      </c>
      <c r="J9" s="2">
        <v>0</v>
      </c>
      <c r="K9" s="2">
        <v>0.1</v>
      </c>
      <c r="L9" s="2">
        <v>0.5</v>
      </c>
      <c r="M9" s="2">
        <v>0.1</v>
      </c>
      <c r="N9" s="2">
        <v>0</v>
      </c>
      <c r="O9" s="2" t="s">
        <v>116</v>
      </c>
      <c r="P9" s="2">
        <v>0.2</v>
      </c>
      <c r="S9" s="2">
        <v>0.4</v>
      </c>
      <c r="T9" s="2">
        <v>0.4</v>
      </c>
      <c r="U9" s="2">
        <v>0.5</v>
      </c>
      <c r="V9" s="2">
        <v>0.3</v>
      </c>
      <c r="W9" s="2">
        <v>0.5</v>
      </c>
      <c r="X9" s="2">
        <v>0.7</v>
      </c>
      <c r="Y9" s="2">
        <v>0.9</v>
      </c>
      <c r="Z9" s="2">
        <v>0.2</v>
      </c>
      <c r="AA9" s="2">
        <v>0.6</v>
      </c>
    </row>
    <row r="10" spans="1:27" s="2" customFormat="1" x14ac:dyDescent="0.25">
      <c r="A10" s="5" t="s">
        <v>139</v>
      </c>
      <c r="B10" s="2" t="s">
        <v>140</v>
      </c>
      <c r="C10" s="2">
        <v>0.5</v>
      </c>
      <c r="F10" s="2">
        <v>0.8</v>
      </c>
      <c r="G10" s="2">
        <v>0.8</v>
      </c>
      <c r="H10" s="2">
        <v>0.8</v>
      </c>
      <c r="I10" s="2">
        <v>0.8</v>
      </c>
      <c r="J10" s="2">
        <v>0.4</v>
      </c>
      <c r="K10" s="2">
        <v>0.5</v>
      </c>
      <c r="L10" s="2">
        <v>0.8</v>
      </c>
      <c r="M10" s="2">
        <v>0.7</v>
      </c>
      <c r="N10" s="2">
        <v>1.1000000000000001</v>
      </c>
      <c r="O10" s="2" t="s">
        <v>140</v>
      </c>
      <c r="P10" s="2">
        <v>1.5</v>
      </c>
      <c r="S10" s="2">
        <v>2.1</v>
      </c>
      <c r="T10" s="2">
        <v>2.1</v>
      </c>
      <c r="U10" s="2">
        <v>2.2999999999999998</v>
      </c>
      <c r="V10" s="2">
        <v>2.4</v>
      </c>
      <c r="W10" s="2">
        <v>1.5</v>
      </c>
      <c r="X10" s="2">
        <v>1.7</v>
      </c>
      <c r="Y10" s="2">
        <v>2.2999999999999998</v>
      </c>
      <c r="Z10" s="2">
        <v>2.2999999999999998</v>
      </c>
      <c r="AA10" s="2">
        <v>2.8</v>
      </c>
    </row>
    <row r="11" spans="1:27" s="2" customFormat="1" x14ac:dyDescent="0.25">
      <c r="A11" s="5" t="s">
        <v>141</v>
      </c>
      <c r="B11" s="2" t="s">
        <v>142</v>
      </c>
      <c r="F11" s="2">
        <v>2.2999999999999998</v>
      </c>
      <c r="G11" s="2">
        <v>1</v>
      </c>
      <c r="H11" s="2">
        <v>0.8</v>
      </c>
      <c r="I11" s="2">
        <v>0.7</v>
      </c>
      <c r="J11" s="2">
        <v>0.4</v>
      </c>
      <c r="K11" s="2">
        <v>0.4</v>
      </c>
      <c r="L11" s="2">
        <v>0.6</v>
      </c>
      <c r="M11" s="2">
        <v>0.7</v>
      </c>
      <c r="N11" s="2">
        <v>1</v>
      </c>
      <c r="O11" s="2" t="s">
        <v>142</v>
      </c>
      <c r="S11" s="2">
        <v>12.1</v>
      </c>
      <c r="T11" s="2">
        <v>8.1999999999999993</v>
      </c>
      <c r="U11" s="2">
        <v>5.5</v>
      </c>
      <c r="V11" s="2">
        <v>3.1</v>
      </c>
      <c r="W11" s="2">
        <v>2.2999999999999998</v>
      </c>
      <c r="X11" s="2">
        <v>2.2000000000000002</v>
      </c>
      <c r="Y11" s="2">
        <v>2.9</v>
      </c>
      <c r="Z11" s="2">
        <v>3.9</v>
      </c>
      <c r="AA11" s="2">
        <v>3.4</v>
      </c>
    </row>
    <row r="12" spans="1:27" s="2" customFormat="1" x14ac:dyDescent="0.25">
      <c r="A12" s="5" t="s">
        <v>149</v>
      </c>
      <c r="B12" s="2" t="s">
        <v>150</v>
      </c>
      <c r="C12" s="2">
        <v>0</v>
      </c>
      <c r="F12" s="2">
        <v>0</v>
      </c>
      <c r="G12" s="2">
        <v>0</v>
      </c>
      <c r="H12" s="2">
        <v>0.1</v>
      </c>
      <c r="I12" s="2">
        <v>0.1</v>
      </c>
      <c r="J12" s="2">
        <v>0.1</v>
      </c>
      <c r="K12" s="2">
        <v>0.1</v>
      </c>
      <c r="L12" s="2">
        <v>0.1</v>
      </c>
      <c r="M12" s="2">
        <v>0</v>
      </c>
      <c r="N12" s="2">
        <v>0</v>
      </c>
      <c r="O12" s="2" t="s">
        <v>150</v>
      </c>
      <c r="P12" s="2">
        <v>0.2</v>
      </c>
      <c r="S12" s="2">
        <v>0.2</v>
      </c>
      <c r="T12" s="2">
        <v>0.1</v>
      </c>
      <c r="U12" s="2">
        <v>0.2</v>
      </c>
      <c r="V12" s="2">
        <v>0.2</v>
      </c>
      <c r="W12" s="2">
        <v>0.1</v>
      </c>
      <c r="X12" s="2">
        <v>0.2</v>
      </c>
      <c r="Y12" s="2">
        <v>0.1</v>
      </c>
      <c r="Z12" s="2">
        <v>0.1</v>
      </c>
      <c r="AA12" s="2">
        <v>0.1</v>
      </c>
    </row>
    <row r="13" spans="1:27" s="2" customFormat="1" x14ac:dyDescent="0.25">
      <c r="A13" s="5" t="s">
        <v>153</v>
      </c>
      <c r="B13" s="2" t="s">
        <v>154</v>
      </c>
      <c r="C13" s="2">
        <v>0</v>
      </c>
      <c r="F13" s="2">
        <v>0.2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0.1</v>
      </c>
      <c r="N13" s="2">
        <v>0</v>
      </c>
      <c r="O13" s="2" t="s">
        <v>154</v>
      </c>
      <c r="P13" s="2">
        <v>0.2</v>
      </c>
      <c r="S13" s="2">
        <v>0.4</v>
      </c>
      <c r="T13" s="2">
        <v>0.2</v>
      </c>
      <c r="U13" s="2">
        <v>0.2</v>
      </c>
      <c r="V13" s="2">
        <v>0.2</v>
      </c>
      <c r="W13" s="2">
        <v>0.1</v>
      </c>
      <c r="X13" s="2">
        <v>0.1</v>
      </c>
      <c r="Y13" s="2">
        <v>0.3</v>
      </c>
      <c r="Z13" s="2">
        <v>0.3</v>
      </c>
      <c r="AA13" s="2">
        <v>0.2</v>
      </c>
    </row>
    <row r="14" spans="1:27" s="2" customFormat="1" x14ac:dyDescent="0.25">
      <c r="A14" s="5" t="s">
        <v>161</v>
      </c>
      <c r="B14" s="2" t="s">
        <v>162</v>
      </c>
      <c r="G14" s="2">
        <v>0.4</v>
      </c>
      <c r="H14" s="2">
        <v>0.5</v>
      </c>
      <c r="I14" s="2">
        <v>0.2</v>
      </c>
      <c r="J14" s="2">
        <v>0.3</v>
      </c>
      <c r="K14" s="2">
        <v>0.3</v>
      </c>
      <c r="L14" s="2">
        <v>0.2</v>
      </c>
      <c r="M14" s="2">
        <v>0.1</v>
      </c>
      <c r="N14" s="2">
        <v>0.4</v>
      </c>
      <c r="O14" s="2" t="s">
        <v>162</v>
      </c>
      <c r="T14" s="2">
        <v>1.2</v>
      </c>
      <c r="U14" s="2">
        <v>1.2</v>
      </c>
      <c r="V14" s="2">
        <v>0.8</v>
      </c>
      <c r="W14" s="2">
        <v>0.8</v>
      </c>
      <c r="X14" s="2">
        <v>1</v>
      </c>
      <c r="Y14" s="2">
        <v>0.6</v>
      </c>
      <c r="Z14" s="2">
        <v>0.7</v>
      </c>
      <c r="AA14" s="2">
        <v>0.7</v>
      </c>
    </row>
    <row r="15" spans="1:27" s="2" customFormat="1" x14ac:dyDescent="0.25">
      <c r="A15" s="5" t="s">
        <v>177</v>
      </c>
      <c r="B15" s="2" t="s">
        <v>178</v>
      </c>
      <c r="C15" s="2">
        <v>0.5</v>
      </c>
      <c r="F15" s="2">
        <v>0.5</v>
      </c>
      <c r="G15" s="2">
        <v>0.7</v>
      </c>
      <c r="H15" s="2">
        <v>0.3</v>
      </c>
      <c r="I15" s="2">
        <v>0.6</v>
      </c>
      <c r="J15" s="2">
        <v>0.5</v>
      </c>
      <c r="K15" s="2">
        <v>0.3</v>
      </c>
      <c r="L15" s="2">
        <v>0.6</v>
      </c>
      <c r="M15" s="2">
        <v>1</v>
      </c>
      <c r="N15" s="2">
        <v>1.2</v>
      </c>
      <c r="O15" s="2" t="s">
        <v>178</v>
      </c>
      <c r="P15" s="2">
        <v>2.5</v>
      </c>
      <c r="S15" s="2">
        <v>1.6</v>
      </c>
      <c r="T15" s="2">
        <v>1.7</v>
      </c>
      <c r="U15" s="2">
        <v>1.6</v>
      </c>
      <c r="V15" s="2">
        <v>1.9</v>
      </c>
      <c r="W15" s="2">
        <v>1.7</v>
      </c>
      <c r="X15" s="2">
        <v>1.2</v>
      </c>
      <c r="Y15" s="2">
        <v>1.5</v>
      </c>
      <c r="Z15" s="2">
        <v>2.4</v>
      </c>
      <c r="AA15" s="2">
        <v>4.8</v>
      </c>
    </row>
    <row r="16" spans="1:27" s="2" customFormat="1" x14ac:dyDescent="0.25">
      <c r="A16" s="5" t="s">
        <v>201</v>
      </c>
      <c r="B16" s="2" t="s">
        <v>202</v>
      </c>
      <c r="G16" s="2">
        <v>0.1</v>
      </c>
      <c r="H16" s="2">
        <v>0.7</v>
      </c>
      <c r="I16" s="2">
        <v>0.1</v>
      </c>
      <c r="J16" s="2">
        <v>0.1</v>
      </c>
      <c r="K16" s="2">
        <v>0</v>
      </c>
      <c r="L16" s="2">
        <v>0.1</v>
      </c>
      <c r="M16" s="2">
        <v>0.1</v>
      </c>
      <c r="N16" s="2">
        <v>0.1</v>
      </c>
      <c r="O16" s="2" t="s">
        <v>202</v>
      </c>
      <c r="T16" s="2">
        <v>2.9</v>
      </c>
      <c r="U16" s="2">
        <v>4.5</v>
      </c>
      <c r="V16" s="2">
        <v>1.9</v>
      </c>
      <c r="W16" s="2">
        <v>1.8</v>
      </c>
      <c r="X16" s="2">
        <v>1.5</v>
      </c>
      <c r="Y16" s="2">
        <v>1.4</v>
      </c>
      <c r="Z16" s="2">
        <v>2.5</v>
      </c>
      <c r="AA16" s="2">
        <v>2.8</v>
      </c>
    </row>
    <row r="17" spans="1:27" s="2" customFormat="1" x14ac:dyDescent="0.25">
      <c r="A17" s="5" t="s">
        <v>221</v>
      </c>
      <c r="B17" s="2" t="s">
        <v>222</v>
      </c>
      <c r="C17" s="2">
        <v>0.2</v>
      </c>
      <c r="F17" s="2">
        <v>0.1</v>
      </c>
      <c r="G17" s="2">
        <v>0</v>
      </c>
      <c r="H17" s="2">
        <v>0</v>
      </c>
      <c r="I17" s="2">
        <v>0.4</v>
      </c>
      <c r="J17" s="2">
        <v>0.1</v>
      </c>
      <c r="K17" s="2">
        <v>0.2</v>
      </c>
      <c r="L17" s="2">
        <v>0.4</v>
      </c>
      <c r="M17" s="2">
        <v>0.5</v>
      </c>
      <c r="N17" s="2">
        <v>0.5</v>
      </c>
      <c r="O17" s="2" t="s">
        <v>222</v>
      </c>
      <c r="P17" s="2">
        <v>0.5</v>
      </c>
      <c r="S17" s="2">
        <v>0.4</v>
      </c>
      <c r="T17" s="2">
        <v>0.3</v>
      </c>
      <c r="U17" s="2">
        <v>0.2</v>
      </c>
      <c r="V17" s="2">
        <v>0.6</v>
      </c>
      <c r="W17" s="2">
        <v>0.4</v>
      </c>
      <c r="X17" s="2">
        <v>0.6</v>
      </c>
      <c r="Y17" s="2">
        <v>1.2</v>
      </c>
      <c r="Z17" s="2">
        <v>1.5</v>
      </c>
      <c r="AA17" s="2">
        <v>1.2</v>
      </c>
    </row>
    <row r="18" spans="1:27" s="2" customFormat="1" x14ac:dyDescent="0.25">
      <c r="A18" s="5" t="s">
        <v>227</v>
      </c>
      <c r="B18" s="2" t="s">
        <v>228</v>
      </c>
      <c r="F18" s="2">
        <v>0</v>
      </c>
      <c r="G18" s="2">
        <v>0.2</v>
      </c>
      <c r="H18" s="2">
        <v>0</v>
      </c>
      <c r="I18" s="2">
        <v>0.1</v>
      </c>
      <c r="J18" s="2">
        <v>0.1</v>
      </c>
      <c r="K18" s="2">
        <v>0.1</v>
      </c>
      <c r="L18" s="2">
        <v>0.1</v>
      </c>
      <c r="M18" s="2">
        <v>0.1</v>
      </c>
      <c r="N18" s="2">
        <v>0.1</v>
      </c>
      <c r="O18" s="2" t="s">
        <v>228</v>
      </c>
      <c r="S18" s="2">
        <v>0.3</v>
      </c>
      <c r="T18" s="2">
        <v>0.4</v>
      </c>
      <c r="U18" s="2">
        <v>0.2</v>
      </c>
      <c r="V18" s="2">
        <v>0.3</v>
      </c>
      <c r="W18" s="2">
        <v>0.2</v>
      </c>
      <c r="X18" s="2">
        <v>0.1</v>
      </c>
      <c r="Y18" s="2">
        <v>0.2</v>
      </c>
      <c r="Z18" s="2">
        <v>0.2</v>
      </c>
      <c r="AA18" s="2">
        <v>0.5</v>
      </c>
    </row>
    <row r="19" spans="1:27" s="2" customFormat="1" x14ac:dyDescent="0.25">
      <c r="A19" s="5" t="s">
        <v>231</v>
      </c>
      <c r="B19" s="2" t="s">
        <v>232</v>
      </c>
      <c r="C19" s="2">
        <v>1.2</v>
      </c>
      <c r="F19" s="2">
        <v>0.8</v>
      </c>
      <c r="G19" s="2">
        <v>0.6</v>
      </c>
      <c r="H19" s="2">
        <v>0.6</v>
      </c>
      <c r="I19" s="2">
        <v>0.7</v>
      </c>
      <c r="J19" s="2">
        <v>0.7</v>
      </c>
      <c r="K19" s="2">
        <v>0.7</v>
      </c>
      <c r="L19" s="2">
        <v>0.9</v>
      </c>
      <c r="M19" s="2">
        <v>1.3</v>
      </c>
      <c r="N19" s="2">
        <v>1.2</v>
      </c>
      <c r="O19" s="2" t="s">
        <v>232</v>
      </c>
      <c r="P19" s="2">
        <v>3</v>
      </c>
      <c r="S19" s="2">
        <v>1.8</v>
      </c>
      <c r="T19" s="2">
        <v>1.5</v>
      </c>
      <c r="U19" s="2">
        <v>1.7</v>
      </c>
      <c r="V19" s="2">
        <v>1.4</v>
      </c>
      <c r="W19" s="2">
        <v>1.6</v>
      </c>
      <c r="X19" s="2">
        <v>1.7</v>
      </c>
      <c r="Y19" s="2">
        <v>1.8</v>
      </c>
      <c r="Z19" s="2">
        <v>2.5</v>
      </c>
      <c r="AA19" s="2">
        <v>2.4</v>
      </c>
    </row>
    <row r="20" spans="1:27" s="2" customFormat="1" x14ac:dyDescent="0.25">
      <c r="A20" s="5" t="s">
        <v>237</v>
      </c>
      <c r="B20" s="2" t="s">
        <v>238</v>
      </c>
      <c r="K20" s="2">
        <v>0.5</v>
      </c>
      <c r="M20" s="2">
        <v>0</v>
      </c>
      <c r="O20" s="2" t="s">
        <v>238</v>
      </c>
      <c r="X20" s="2">
        <v>1.4</v>
      </c>
      <c r="Z20" s="2">
        <v>0.5</v>
      </c>
    </row>
    <row r="21" spans="1:27" s="2" customFormat="1" x14ac:dyDescent="0.25">
      <c r="A21" s="5" t="s">
        <v>285</v>
      </c>
      <c r="B21" s="2" t="s">
        <v>286</v>
      </c>
      <c r="G21" s="2">
        <v>2.7</v>
      </c>
      <c r="H21" s="2">
        <v>1.8</v>
      </c>
      <c r="I21" s="2">
        <v>1.5</v>
      </c>
      <c r="J21" s="2">
        <v>1.3</v>
      </c>
      <c r="K21" s="2">
        <v>1.4</v>
      </c>
      <c r="L21" s="2">
        <v>2.2000000000000002</v>
      </c>
      <c r="M21" s="2">
        <v>1.5</v>
      </c>
      <c r="N21" s="2">
        <v>0.7</v>
      </c>
      <c r="O21" s="2" t="s">
        <v>286</v>
      </c>
      <c r="T21" s="2">
        <v>18.7</v>
      </c>
      <c r="U21" s="2">
        <v>12.1</v>
      </c>
      <c r="V21" s="2">
        <v>7.1</v>
      </c>
      <c r="W21" s="2">
        <v>4.3</v>
      </c>
      <c r="X21" s="2">
        <v>4.5</v>
      </c>
      <c r="Y21" s="2">
        <v>8.9</v>
      </c>
      <c r="Z21" s="2">
        <v>8.1999999999999993</v>
      </c>
      <c r="AA21" s="2">
        <v>5.3</v>
      </c>
    </row>
    <row r="22" spans="1:27" s="2" customFormat="1" x14ac:dyDescent="0.25">
      <c r="A22" s="5" t="s">
        <v>287</v>
      </c>
      <c r="B22" s="2" t="s">
        <v>288</v>
      </c>
      <c r="C22" s="2">
        <v>0</v>
      </c>
      <c r="F22" s="2">
        <v>0.1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0.1</v>
      </c>
      <c r="O22" s="2" t="s">
        <v>288</v>
      </c>
      <c r="P22" s="2">
        <v>0</v>
      </c>
      <c r="S22" s="2">
        <v>0.5</v>
      </c>
      <c r="T22" s="2">
        <v>0.1</v>
      </c>
      <c r="U22" s="2">
        <v>0.1</v>
      </c>
      <c r="V22" s="2">
        <v>0</v>
      </c>
      <c r="W22" s="2">
        <v>0</v>
      </c>
      <c r="X22" s="2">
        <v>0</v>
      </c>
      <c r="Y22" s="2">
        <v>0.2</v>
      </c>
      <c r="Z22" s="2">
        <v>0.1</v>
      </c>
      <c r="AA22" s="2">
        <v>0.2</v>
      </c>
    </row>
    <row r="23" spans="1:27" s="2" customFormat="1" x14ac:dyDescent="0.25">
      <c r="A23" s="5" t="s">
        <v>351</v>
      </c>
      <c r="B23" s="2" t="s">
        <v>352</v>
      </c>
      <c r="G23" s="2">
        <v>0.2</v>
      </c>
      <c r="H23" s="2">
        <v>0.1</v>
      </c>
      <c r="I23" s="2">
        <v>0</v>
      </c>
      <c r="J23" s="2">
        <v>0</v>
      </c>
      <c r="K23" s="2">
        <v>0.1</v>
      </c>
      <c r="L23" s="2">
        <v>0.1</v>
      </c>
      <c r="M23" s="2">
        <v>0</v>
      </c>
      <c r="N23" s="2">
        <v>0.1</v>
      </c>
      <c r="O23" s="2" t="s">
        <v>352</v>
      </c>
      <c r="T23" s="2">
        <v>0.8</v>
      </c>
      <c r="U23" s="2">
        <v>0.4</v>
      </c>
      <c r="V23" s="2">
        <v>0.2</v>
      </c>
      <c r="W23" s="2">
        <v>0.3</v>
      </c>
      <c r="X23" s="2">
        <v>0.5</v>
      </c>
      <c r="Y23" s="2">
        <v>0.3</v>
      </c>
      <c r="Z23" s="2">
        <v>0.2</v>
      </c>
      <c r="AA23" s="2">
        <v>0.3</v>
      </c>
    </row>
    <row r="24" spans="1:27" s="2" customFormat="1" x14ac:dyDescent="0.25">
      <c r="A24" s="5" t="s">
        <v>353</v>
      </c>
      <c r="B24" s="2" t="s">
        <v>354</v>
      </c>
      <c r="C24" s="2">
        <v>0.2</v>
      </c>
      <c r="F24" s="2">
        <v>0.2</v>
      </c>
      <c r="G24" s="2">
        <v>0.3</v>
      </c>
      <c r="H24" s="2">
        <v>0.2</v>
      </c>
      <c r="I24" s="2">
        <v>0.1</v>
      </c>
      <c r="J24" s="2">
        <v>0.1</v>
      </c>
      <c r="K24" s="2">
        <v>0.2</v>
      </c>
      <c r="L24" s="2">
        <v>0.1</v>
      </c>
      <c r="M24" s="2">
        <v>0.2</v>
      </c>
      <c r="N24" s="2">
        <v>0.1</v>
      </c>
      <c r="O24" s="2" t="s">
        <v>354</v>
      </c>
      <c r="P24" s="2">
        <v>0.5</v>
      </c>
      <c r="S24" s="2">
        <v>0.3</v>
      </c>
      <c r="T24" s="2">
        <v>0.5</v>
      </c>
      <c r="U24" s="2">
        <v>0.4</v>
      </c>
      <c r="V24" s="2">
        <v>0.5</v>
      </c>
      <c r="W24" s="2">
        <v>0.4</v>
      </c>
      <c r="X24" s="2">
        <v>0.4</v>
      </c>
      <c r="Y24" s="2">
        <v>0.2</v>
      </c>
      <c r="Z24" s="2">
        <v>0.3</v>
      </c>
      <c r="AA24" s="2">
        <v>0.2</v>
      </c>
    </row>
    <row r="25" spans="1:27" s="2" customFormat="1" x14ac:dyDescent="0.25">
      <c r="A25" s="5" t="s">
        <v>359</v>
      </c>
      <c r="B25" s="2" t="s">
        <v>360</v>
      </c>
      <c r="O25" s="2" t="s">
        <v>360</v>
      </c>
    </row>
    <row r="26" spans="1:27" s="2" customFormat="1" x14ac:dyDescent="0.25">
      <c r="A26" s="5" t="s">
        <v>379</v>
      </c>
      <c r="B26" s="2" t="s">
        <v>380</v>
      </c>
      <c r="G26" s="2">
        <v>2.1</v>
      </c>
      <c r="H26" s="2">
        <v>0.9</v>
      </c>
      <c r="I26" s="2">
        <v>0.6</v>
      </c>
      <c r="J26" s="2">
        <v>0.4</v>
      </c>
      <c r="K26" s="2">
        <v>0.2</v>
      </c>
      <c r="L26" s="2">
        <v>0.3</v>
      </c>
      <c r="M26" s="2">
        <v>0.3</v>
      </c>
      <c r="N26" s="2">
        <v>0.3</v>
      </c>
      <c r="O26" s="2" t="s">
        <v>380</v>
      </c>
      <c r="T26" s="2">
        <v>12.7</v>
      </c>
      <c r="U26" s="2">
        <v>9</v>
      </c>
      <c r="V26" s="2">
        <v>6.5</v>
      </c>
      <c r="W26" s="2">
        <v>3.9</v>
      </c>
      <c r="X26" s="2">
        <v>3</v>
      </c>
      <c r="Y26" s="2">
        <v>3.1</v>
      </c>
      <c r="Z26" s="2">
        <v>2.9</v>
      </c>
      <c r="AA26" s="2">
        <v>2.8</v>
      </c>
    </row>
    <row r="27" spans="1:27" s="2" customFormat="1" x14ac:dyDescent="0.25">
      <c r="A27" s="5" t="s">
        <v>387</v>
      </c>
      <c r="B27" s="2" t="s">
        <v>388</v>
      </c>
      <c r="F27" s="2">
        <v>0.9</v>
      </c>
      <c r="G27" s="2">
        <v>0.5</v>
      </c>
      <c r="H27" s="2">
        <v>0.5</v>
      </c>
      <c r="I27" s="2">
        <v>0.1</v>
      </c>
      <c r="J27" s="2">
        <v>0.3</v>
      </c>
      <c r="K27" s="2">
        <v>0.1</v>
      </c>
      <c r="L27" s="2">
        <v>0.2</v>
      </c>
      <c r="M27" s="2">
        <v>0.1</v>
      </c>
      <c r="N27" s="2">
        <v>0.5</v>
      </c>
      <c r="O27" s="2" t="s">
        <v>388</v>
      </c>
      <c r="S27" s="2">
        <v>3.1</v>
      </c>
      <c r="T27" s="2">
        <v>2.7</v>
      </c>
      <c r="U27" s="2">
        <v>2.7</v>
      </c>
      <c r="V27" s="2">
        <v>2</v>
      </c>
      <c r="W27" s="2">
        <v>1.6</v>
      </c>
      <c r="X27" s="2">
        <v>2.1</v>
      </c>
      <c r="Y27" s="2">
        <v>1.5</v>
      </c>
      <c r="Z27" s="2">
        <v>1.9</v>
      </c>
      <c r="AA27" s="2">
        <v>2.6</v>
      </c>
    </row>
    <row r="28" spans="1:27" s="2" customFormat="1" x14ac:dyDescent="0.25">
      <c r="A28" s="5" t="s">
        <v>445</v>
      </c>
      <c r="B28" s="2" t="s">
        <v>446</v>
      </c>
      <c r="C28" s="2">
        <v>0</v>
      </c>
      <c r="F28" s="2">
        <v>0.3</v>
      </c>
      <c r="G28" s="2">
        <v>0.4</v>
      </c>
      <c r="H28" s="2">
        <v>1</v>
      </c>
      <c r="I28" s="2">
        <v>0.3</v>
      </c>
      <c r="J28" s="2">
        <v>0.4</v>
      </c>
      <c r="K28" s="2">
        <v>0.6</v>
      </c>
      <c r="L28" s="2">
        <v>0.4</v>
      </c>
      <c r="M28" s="2">
        <v>0.5</v>
      </c>
      <c r="N28" s="2">
        <v>0.5</v>
      </c>
      <c r="O28" s="2" t="s">
        <v>446</v>
      </c>
      <c r="P28" s="2">
        <v>0.2</v>
      </c>
      <c r="S28" s="2">
        <v>0.8</v>
      </c>
      <c r="T28" s="2">
        <v>0.9</v>
      </c>
      <c r="U28" s="2">
        <v>1.6</v>
      </c>
      <c r="V28" s="2">
        <v>0.9</v>
      </c>
      <c r="W28" s="2">
        <v>0.8</v>
      </c>
      <c r="X28" s="2">
        <v>1</v>
      </c>
      <c r="Y28" s="2">
        <v>1</v>
      </c>
      <c r="Z28" s="2">
        <v>1.2</v>
      </c>
      <c r="AA28" s="2">
        <v>1.1000000000000001</v>
      </c>
    </row>
    <row r="29" spans="1:27" s="2" customFormat="1" x14ac:dyDescent="0.25">
      <c r="A29" s="5" t="s">
        <v>501</v>
      </c>
      <c r="B29" s="2" t="s">
        <v>502</v>
      </c>
      <c r="C29" s="2">
        <v>0.7</v>
      </c>
      <c r="G29" s="2">
        <v>1</v>
      </c>
      <c r="J29" s="2">
        <v>1</v>
      </c>
      <c r="M29" s="2">
        <v>1</v>
      </c>
      <c r="O29" s="2" t="s">
        <v>502</v>
      </c>
      <c r="P29" s="2">
        <v>1.2</v>
      </c>
      <c r="T29" s="2">
        <v>1.7</v>
      </c>
      <c r="W29" s="2">
        <v>1.5</v>
      </c>
      <c r="Z29" s="2">
        <v>1.7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91F0-9AAB-4EA5-8B97-1A4668820FC7}">
  <dimension ref="A1:AA265"/>
  <sheetViews>
    <sheetView workbookViewId="0">
      <pane xSplit="1" ySplit="1" topLeftCell="B2" activePane="bottomRight" state="frozen"/>
      <selection activeCell="J13" sqref="J13"/>
      <selection pane="topRight" activeCell="J13" sqref="J13"/>
      <selection pane="bottomLeft" activeCell="J13" sqref="J13"/>
      <selection pane="bottomRight" activeCell="N1" sqref="N1"/>
    </sheetView>
  </sheetViews>
  <sheetFormatPr defaultRowHeight="15" x14ac:dyDescent="0.25"/>
  <cols>
    <col min="1" max="1" width="8.85546875" style="4"/>
  </cols>
  <sheetData>
    <row r="1" spans="1:27" s="4" customFormat="1" x14ac:dyDescent="0.25">
      <c r="A1" s="4" t="s">
        <v>0</v>
      </c>
      <c r="B1" s="4" t="s">
        <v>1</v>
      </c>
      <c r="C1" s="4" t="s">
        <v>559</v>
      </c>
      <c r="D1" s="4" t="s">
        <v>560</v>
      </c>
      <c r="E1" s="4" t="s">
        <v>561</v>
      </c>
      <c r="F1" s="4" t="s">
        <v>562</v>
      </c>
      <c r="G1" s="4" t="s">
        <v>563</v>
      </c>
      <c r="H1" s="4" t="s">
        <v>564</v>
      </c>
      <c r="I1" s="4" t="s">
        <v>565</v>
      </c>
      <c r="J1" s="4" t="s">
        <v>566</v>
      </c>
      <c r="K1" s="4" t="s">
        <v>567</v>
      </c>
      <c r="L1" s="4" t="s">
        <v>568</v>
      </c>
      <c r="M1" s="4" t="s">
        <v>569</v>
      </c>
      <c r="N1" s="4" t="s">
        <v>570</v>
      </c>
      <c r="O1" s="4" t="s">
        <v>1</v>
      </c>
      <c r="P1" s="4" t="s">
        <v>547</v>
      </c>
      <c r="Q1" s="4" t="s">
        <v>548</v>
      </c>
      <c r="R1" s="4" t="s">
        <v>549</v>
      </c>
      <c r="S1" s="4" t="s">
        <v>550</v>
      </c>
      <c r="T1" s="4" t="s">
        <v>551</v>
      </c>
      <c r="U1" s="4" t="s">
        <v>552</v>
      </c>
      <c r="V1" s="4" t="s">
        <v>553</v>
      </c>
      <c r="W1" s="4" t="s">
        <v>554</v>
      </c>
      <c r="X1" s="4" t="s">
        <v>555</v>
      </c>
      <c r="Y1" s="4" t="s">
        <v>556</v>
      </c>
      <c r="Z1" s="4" t="s">
        <v>557</v>
      </c>
      <c r="AA1" s="4" t="s">
        <v>558</v>
      </c>
    </row>
    <row r="2" spans="1:27" x14ac:dyDescent="0.25">
      <c r="A2" s="4" t="s">
        <v>2</v>
      </c>
      <c r="B2" t="s">
        <v>3</v>
      </c>
      <c r="O2" t="s">
        <v>3</v>
      </c>
    </row>
    <row r="3" spans="1:27" x14ac:dyDescent="0.25">
      <c r="A3" s="4" t="s">
        <v>5</v>
      </c>
      <c r="B3" t="s">
        <v>6</v>
      </c>
      <c r="O3" t="s">
        <v>6</v>
      </c>
    </row>
    <row r="4" spans="1:27" x14ac:dyDescent="0.25">
      <c r="A4" s="4" t="s">
        <v>7</v>
      </c>
      <c r="B4" t="s">
        <v>8</v>
      </c>
      <c r="C4">
        <v>36.4</v>
      </c>
      <c r="K4">
        <v>34.4</v>
      </c>
      <c r="O4" t="s">
        <v>8</v>
      </c>
      <c r="P4">
        <v>80.5</v>
      </c>
      <c r="X4">
        <v>82.9</v>
      </c>
    </row>
    <row r="5" spans="1:27" x14ac:dyDescent="0.25">
      <c r="A5" s="4" t="s">
        <v>9</v>
      </c>
      <c r="B5" t="s">
        <v>10</v>
      </c>
      <c r="E5">
        <v>1.6</v>
      </c>
      <c r="H5">
        <v>0.9</v>
      </c>
      <c r="K5">
        <v>0.3</v>
      </c>
      <c r="O5" t="s">
        <v>10</v>
      </c>
      <c r="R5">
        <v>49.7</v>
      </c>
      <c r="U5">
        <v>38.5</v>
      </c>
      <c r="X5">
        <v>31.1</v>
      </c>
    </row>
    <row r="6" spans="1:27" x14ac:dyDescent="0.25">
      <c r="A6" s="4" t="s">
        <v>11</v>
      </c>
      <c r="B6" t="s">
        <v>12</v>
      </c>
      <c r="O6" t="s">
        <v>12</v>
      </c>
    </row>
    <row r="7" spans="1:27" x14ac:dyDescent="0.25">
      <c r="A7" s="4" t="s">
        <v>13</v>
      </c>
      <c r="B7" t="s">
        <v>14</v>
      </c>
      <c r="O7" t="s">
        <v>14</v>
      </c>
    </row>
    <row r="8" spans="1:27" x14ac:dyDescent="0.25">
      <c r="A8" s="4" t="s">
        <v>15</v>
      </c>
      <c r="B8" t="s">
        <v>16</v>
      </c>
      <c r="O8" t="s">
        <v>16</v>
      </c>
    </row>
    <row r="9" spans="1:27" s="2" customFormat="1" x14ac:dyDescent="0.25">
      <c r="A9" s="5" t="s">
        <v>17</v>
      </c>
      <c r="B9" s="2" t="s">
        <v>18</v>
      </c>
      <c r="C9" s="2">
        <v>6.8</v>
      </c>
      <c r="D9" s="2">
        <v>10.7</v>
      </c>
      <c r="E9" s="2">
        <v>16.899999999999999</v>
      </c>
      <c r="F9" s="2">
        <v>8.4</v>
      </c>
      <c r="G9" s="2">
        <v>6.4</v>
      </c>
      <c r="H9" s="2">
        <v>4.8</v>
      </c>
      <c r="I9" s="2">
        <v>3.9</v>
      </c>
      <c r="J9" s="2">
        <v>3.3</v>
      </c>
      <c r="K9" s="2">
        <v>3.3</v>
      </c>
      <c r="L9" s="2">
        <v>3</v>
      </c>
      <c r="M9" s="2">
        <v>2.8</v>
      </c>
      <c r="N9" s="2">
        <v>1.1000000000000001</v>
      </c>
      <c r="O9" s="2" t="s">
        <v>18</v>
      </c>
      <c r="P9" s="2">
        <v>31.5</v>
      </c>
      <c r="Q9" s="2">
        <v>36.9</v>
      </c>
      <c r="R9" s="2">
        <v>49.9</v>
      </c>
      <c r="S9" s="2">
        <v>34.200000000000003</v>
      </c>
      <c r="T9" s="2">
        <v>29.4</v>
      </c>
      <c r="U9" s="2">
        <v>25.5</v>
      </c>
      <c r="V9" s="2">
        <v>20.9</v>
      </c>
      <c r="W9" s="2">
        <v>19.8</v>
      </c>
      <c r="X9" s="2">
        <v>17.7</v>
      </c>
      <c r="Y9" s="2">
        <v>16.2</v>
      </c>
      <c r="Z9" s="2">
        <v>15.3</v>
      </c>
      <c r="AA9" s="2">
        <v>11.5</v>
      </c>
    </row>
    <row r="10" spans="1:27" x14ac:dyDescent="0.25">
      <c r="A10" s="4" t="s">
        <v>19</v>
      </c>
      <c r="B10" t="s">
        <v>20</v>
      </c>
      <c r="D10">
        <v>14.4</v>
      </c>
      <c r="E10">
        <v>10.5</v>
      </c>
      <c r="F10">
        <v>7.9</v>
      </c>
      <c r="G10">
        <v>5.5</v>
      </c>
      <c r="H10">
        <v>2.7</v>
      </c>
      <c r="I10">
        <v>2.1</v>
      </c>
      <c r="J10">
        <v>1.6</v>
      </c>
      <c r="K10">
        <v>0.9</v>
      </c>
      <c r="L10">
        <v>1.3</v>
      </c>
      <c r="M10">
        <v>1</v>
      </c>
      <c r="N10">
        <v>1.2</v>
      </c>
      <c r="O10" t="s">
        <v>20</v>
      </c>
      <c r="Q10">
        <v>81</v>
      </c>
      <c r="R10">
        <v>79.7</v>
      </c>
      <c r="S10">
        <v>78.900000000000006</v>
      </c>
      <c r="T10">
        <v>68.099999999999994</v>
      </c>
      <c r="U10">
        <v>61.3</v>
      </c>
      <c r="V10">
        <v>55.9</v>
      </c>
      <c r="W10">
        <v>48.4</v>
      </c>
      <c r="X10">
        <v>45.5</v>
      </c>
      <c r="Y10">
        <v>54.3</v>
      </c>
      <c r="Z10">
        <v>55</v>
      </c>
      <c r="AA10">
        <v>51.3</v>
      </c>
    </row>
    <row r="11" spans="1:27" x14ac:dyDescent="0.25">
      <c r="A11" s="4" t="s">
        <v>21</v>
      </c>
      <c r="B11" t="s">
        <v>22</v>
      </c>
      <c r="O11" t="s">
        <v>22</v>
      </c>
    </row>
    <row r="12" spans="1:27" x14ac:dyDescent="0.25">
      <c r="A12" s="4" t="s">
        <v>23</v>
      </c>
      <c r="B12" t="s">
        <v>24</v>
      </c>
      <c r="O12" t="s">
        <v>24</v>
      </c>
    </row>
    <row r="13" spans="1:27" x14ac:dyDescent="0.25">
      <c r="A13" s="4" t="s">
        <v>25</v>
      </c>
      <c r="B13" t="s">
        <v>26</v>
      </c>
      <c r="D13">
        <v>0.7</v>
      </c>
      <c r="F13">
        <v>1</v>
      </c>
      <c r="G13">
        <v>0.5</v>
      </c>
      <c r="K13">
        <v>0.4</v>
      </c>
      <c r="M13">
        <v>0.3</v>
      </c>
      <c r="O13" t="s">
        <v>26</v>
      </c>
      <c r="Q13">
        <v>1.3</v>
      </c>
      <c r="S13">
        <v>1.5</v>
      </c>
      <c r="T13">
        <v>1</v>
      </c>
      <c r="X13">
        <v>0.7</v>
      </c>
      <c r="Z13">
        <v>0.7</v>
      </c>
    </row>
    <row r="14" spans="1:27" s="2" customFormat="1" x14ac:dyDescent="0.25">
      <c r="A14" s="5" t="s">
        <v>27</v>
      </c>
      <c r="B14" s="2" t="s">
        <v>28</v>
      </c>
      <c r="C14" s="2">
        <v>0.2</v>
      </c>
      <c r="F14" s="2">
        <v>0.3</v>
      </c>
      <c r="G14" s="2">
        <v>0.1</v>
      </c>
      <c r="H14" s="2">
        <v>0.2</v>
      </c>
      <c r="I14" s="2">
        <v>0.1</v>
      </c>
      <c r="J14" s="2">
        <v>0.4</v>
      </c>
      <c r="K14" s="2">
        <v>0.5</v>
      </c>
      <c r="L14" s="2">
        <v>0.7</v>
      </c>
      <c r="M14" s="2">
        <v>0.5</v>
      </c>
      <c r="N14" s="2">
        <v>0.4</v>
      </c>
      <c r="O14" s="2" t="s">
        <v>28</v>
      </c>
      <c r="P14" s="2">
        <v>0.2</v>
      </c>
      <c r="S14" s="2">
        <v>0.6</v>
      </c>
      <c r="T14" s="2">
        <v>0.3</v>
      </c>
      <c r="U14" s="2">
        <v>0.4</v>
      </c>
      <c r="V14" s="2">
        <v>0.4</v>
      </c>
      <c r="W14" s="2">
        <v>0.7</v>
      </c>
      <c r="X14" s="2">
        <v>0.9</v>
      </c>
      <c r="Y14" s="2">
        <v>1</v>
      </c>
      <c r="Z14" s="2">
        <v>0.8</v>
      </c>
      <c r="AA14" s="2">
        <v>1</v>
      </c>
    </row>
    <row r="15" spans="1:27" x14ac:dyDescent="0.25">
      <c r="A15" s="4" t="s">
        <v>29</v>
      </c>
      <c r="B15" t="s">
        <v>30</v>
      </c>
      <c r="D15">
        <v>2.6</v>
      </c>
      <c r="E15">
        <v>0</v>
      </c>
      <c r="F15">
        <v>0</v>
      </c>
      <c r="G15">
        <v>0</v>
      </c>
      <c r="H15">
        <v>0</v>
      </c>
      <c r="O15" t="s">
        <v>30</v>
      </c>
      <c r="Q15">
        <v>52</v>
      </c>
      <c r="R15">
        <v>16.2</v>
      </c>
      <c r="S15">
        <v>17.5</v>
      </c>
      <c r="T15">
        <v>13.9</v>
      </c>
      <c r="U15">
        <v>7.1</v>
      </c>
    </row>
    <row r="16" spans="1:27" x14ac:dyDescent="0.25">
      <c r="A16" s="4" t="s">
        <v>31</v>
      </c>
      <c r="B16" t="s">
        <v>32</v>
      </c>
      <c r="I16">
        <v>78.599999999999994</v>
      </c>
      <c r="O16" t="s">
        <v>32</v>
      </c>
      <c r="V16">
        <v>98.4</v>
      </c>
    </row>
    <row r="17" spans="1:27" s="2" customFormat="1" x14ac:dyDescent="0.25">
      <c r="A17" s="5" t="s">
        <v>33</v>
      </c>
      <c r="B17" s="2" t="s">
        <v>34</v>
      </c>
      <c r="C17" s="2">
        <v>0.3</v>
      </c>
      <c r="F17" s="2">
        <v>0.3</v>
      </c>
      <c r="G17" s="2">
        <v>0.1</v>
      </c>
      <c r="H17" s="2">
        <v>0.2</v>
      </c>
      <c r="I17" s="2">
        <v>0.2</v>
      </c>
      <c r="J17" s="2">
        <v>0.2</v>
      </c>
      <c r="K17" s="2">
        <v>0.1</v>
      </c>
      <c r="L17" s="2">
        <v>0.1</v>
      </c>
      <c r="M17" s="2">
        <v>0.1</v>
      </c>
      <c r="N17" s="2">
        <v>0.2</v>
      </c>
      <c r="O17" s="2" t="s">
        <v>34</v>
      </c>
      <c r="P17" s="2">
        <v>0.7</v>
      </c>
      <c r="S17" s="2">
        <v>0.7</v>
      </c>
      <c r="T17" s="2">
        <v>0.2</v>
      </c>
      <c r="U17" s="2">
        <v>0.5</v>
      </c>
      <c r="V17" s="2">
        <v>0.4</v>
      </c>
      <c r="W17" s="2">
        <v>0.3</v>
      </c>
      <c r="X17" s="2">
        <v>0.3</v>
      </c>
      <c r="Y17" s="2">
        <v>0.3</v>
      </c>
      <c r="Z17" s="2">
        <v>0.4</v>
      </c>
      <c r="AA17" s="2">
        <v>0.5</v>
      </c>
    </row>
    <row r="18" spans="1:27" x14ac:dyDescent="0.25">
      <c r="A18" s="4" t="s">
        <v>35</v>
      </c>
      <c r="B18" t="s">
        <v>36</v>
      </c>
      <c r="F18">
        <v>48.9</v>
      </c>
      <c r="N18">
        <v>53.2</v>
      </c>
      <c r="O18" t="s">
        <v>36</v>
      </c>
      <c r="S18">
        <v>93.1</v>
      </c>
      <c r="AA18">
        <v>90.1</v>
      </c>
    </row>
    <row r="19" spans="1:27" x14ac:dyDescent="0.25">
      <c r="A19" s="4" t="s">
        <v>37</v>
      </c>
      <c r="B19" t="s">
        <v>38</v>
      </c>
      <c r="F19">
        <v>57.4</v>
      </c>
      <c r="L19">
        <v>55.4</v>
      </c>
      <c r="O19" t="s">
        <v>38</v>
      </c>
      <c r="S19">
        <v>93.1</v>
      </c>
      <c r="Y19">
        <v>94.2</v>
      </c>
    </row>
    <row r="20" spans="1:27" x14ac:dyDescent="0.25">
      <c r="A20" s="4" t="s">
        <v>39</v>
      </c>
      <c r="B20" t="s">
        <v>40</v>
      </c>
      <c r="C20">
        <v>34.5</v>
      </c>
      <c r="H20">
        <v>25.4</v>
      </c>
      <c r="M20">
        <v>19.399999999999999</v>
      </c>
      <c r="O20" t="s">
        <v>40</v>
      </c>
      <c r="P20">
        <v>91.5</v>
      </c>
      <c r="U20">
        <v>89.2</v>
      </c>
      <c r="Z20">
        <v>87.6</v>
      </c>
    </row>
    <row r="21" spans="1:27" s="2" customFormat="1" x14ac:dyDescent="0.25">
      <c r="A21" s="5" t="s">
        <v>41</v>
      </c>
      <c r="B21" s="2" t="s">
        <v>42</v>
      </c>
      <c r="I21" s="2">
        <v>5.6</v>
      </c>
      <c r="J21" s="2">
        <v>1.8</v>
      </c>
      <c r="K21" s="2">
        <v>1.2</v>
      </c>
      <c r="L21" s="2">
        <v>1.3</v>
      </c>
      <c r="M21" s="2">
        <v>2</v>
      </c>
      <c r="N21" s="2">
        <v>2.4</v>
      </c>
      <c r="O21" s="2" t="s">
        <v>42</v>
      </c>
      <c r="V21" s="2">
        <v>24</v>
      </c>
      <c r="W21" s="2">
        <v>12.2</v>
      </c>
      <c r="X21" s="2">
        <v>9.1</v>
      </c>
      <c r="Y21" s="2">
        <v>9</v>
      </c>
      <c r="Z21" s="2">
        <v>11.4</v>
      </c>
      <c r="AA21" s="2">
        <v>11.9</v>
      </c>
    </row>
    <row r="22" spans="1:27" x14ac:dyDescent="0.25">
      <c r="A22" s="4" t="s">
        <v>43</v>
      </c>
      <c r="B22" t="s">
        <v>44</v>
      </c>
      <c r="O22" t="s">
        <v>44</v>
      </c>
    </row>
    <row r="23" spans="1:27" x14ac:dyDescent="0.25">
      <c r="A23" s="4" t="s">
        <v>45</v>
      </c>
      <c r="B23" t="s">
        <v>46</v>
      </c>
      <c r="O23" t="s">
        <v>46</v>
      </c>
    </row>
    <row r="24" spans="1:27" x14ac:dyDescent="0.25">
      <c r="A24" s="4" t="s">
        <v>47</v>
      </c>
      <c r="B24" t="s">
        <v>48</v>
      </c>
      <c r="D24">
        <v>0.3</v>
      </c>
      <c r="G24">
        <v>0.2</v>
      </c>
      <c r="J24">
        <v>0.1</v>
      </c>
      <c r="N24">
        <v>0.1</v>
      </c>
      <c r="O24" t="s">
        <v>48</v>
      </c>
      <c r="Q24">
        <v>8.6</v>
      </c>
      <c r="T24">
        <v>3.9</v>
      </c>
      <c r="W24">
        <v>2.8</v>
      </c>
      <c r="AA24">
        <v>3.8</v>
      </c>
    </row>
    <row r="25" spans="1:27" x14ac:dyDescent="0.25">
      <c r="A25" s="4" t="s">
        <v>49</v>
      </c>
      <c r="B25" t="s">
        <v>50</v>
      </c>
      <c r="C25">
        <v>7.3</v>
      </c>
      <c r="D25">
        <v>3.2</v>
      </c>
      <c r="E25">
        <v>2.1</v>
      </c>
      <c r="F25">
        <v>1.4</v>
      </c>
      <c r="G25">
        <v>0.3</v>
      </c>
      <c r="H25">
        <v>0.4</v>
      </c>
      <c r="I25">
        <v>0.1</v>
      </c>
      <c r="J25">
        <v>0.1</v>
      </c>
      <c r="K25">
        <v>0</v>
      </c>
      <c r="L25">
        <v>0</v>
      </c>
      <c r="M25">
        <v>0</v>
      </c>
      <c r="N25">
        <v>0</v>
      </c>
      <c r="O25" t="s">
        <v>50</v>
      </c>
      <c r="P25">
        <v>65.900000000000006</v>
      </c>
      <c r="Q25">
        <v>50</v>
      </c>
      <c r="R25">
        <v>42.7</v>
      </c>
      <c r="S25">
        <v>39.1</v>
      </c>
      <c r="T25">
        <v>27.4</v>
      </c>
      <c r="U25">
        <v>17.100000000000001</v>
      </c>
      <c r="V25">
        <v>11.7</v>
      </c>
      <c r="W25">
        <v>7.6</v>
      </c>
      <c r="X25">
        <v>5.5</v>
      </c>
      <c r="Y25">
        <v>5.0999999999999996</v>
      </c>
      <c r="Z25">
        <v>3.6</v>
      </c>
      <c r="AA25">
        <v>2.7</v>
      </c>
    </row>
    <row r="26" spans="1:27" x14ac:dyDescent="0.25">
      <c r="A26" s="4" t="s">
        <v>51</v>
      </c>
      <c r="B26" t="s">
        <v>52</v>
      </c>
      <c r="O26" t="s">
        <v>52</v>
      </c>
    </row>
    <row r="27" spans="1:27" x14ac:dyDescent="0.25">
      <c r="A27" s="4" t="s">
        <v>53</v>
      </c>
      <c r="B27" t="s">
        <v>54</v>
      </c>
      <c r="O27" t="s">
        <v>54</v>
      </c>
    </row>
    <row r="28" spans="1:27" x14ac:dyDescent="0.25">
      <c r="A28" s="4" t="s">
        <v>55</v>
      </c>
      <c r="B28" t="s">
        <v>56</v>
      </c>
      <c r="C28">
        <v>28.6</v>
      </c>
      <c r="D28">
        <v>22.8</v>
      </c>
      <c r="E28">
        <v>24.6</v>
      </c>
      <c r="G28">
        <v>13.6</v>
      </c>
      <c r="H28">
        <v>19.2</v>
      </c>
      <c r="I28">
        <v>16.100000000000001</v>
      </c>
      <c r="J28">
        <v>12.4</v>
      </c>
      <c r="K28">
        <v>11</v>
      </c>
      <c r="L28">
        <v>10.3</v>
      </c>
      <c r="N28">
        <v>7.2</v>
      </c>
      <c r="O28" t="s">
        <v>56</v>
      </c>
      <c r="P28">
        <v>62</v>
      </c>
      <c r="Q28">
        <v>57.3</v>
      </c>
      <c r="R28">
        <v>59.2</v>
      </c>
      <c r="T28">
        <v>52.8</v>
      </c>
      <c r="U28">
        <v>51.9</v>
      </c>
      <c r="V28">
        <v>47.9</v>
      </c>
      <c r="W28">
        <v>46.3</v>
      </c>
      <c r="X28">
        <v>39</v>
      </c>
      <c r="Y28">
        <v>34.6</v>
      </c>
      <c r="AA28">
        <v>27.9</v>
      </c>
    </row>
    <row r="29" spans="1:27" x14ac:dyDescent="0.25">
      <c r="A29" s="4" t="s">
        <v>57</v>
      </c>
      <c r="B29" t="s">
        <v>58</v>
      </c>
      <c r="D29">
        <v>11.5</v>
      </c>
      <c r="E29">
        <v>10.199999999999999</v>
      </c>
      <c r="F29">
        <v>11</v>
      </c>
      <c r="G29">
        <v>9.6999999999999993</v>
      </c>
      <c r="H29">
        <v>8.6</v>
      </c>
      <c r="I29">
        <v>7.2</v>
      </c>
      <c r="J29">
        <v>6.7</v>
      </c>
      <c r="K29">
        <v>5.5</v>
      </c>
      <c r="L29">
        <v>5.4</v>
      </c>
      <c r="N29">
        <v>4.7</v>
      </c>
      <c r="O29" t="s">
        <v>58</v>
      </c>
      <c r="Q29">
        <v>41.1</v>
      </c>
      <c r="R29">
        <v>40.299999999999997</v>
      </c>
      <c r="S29">
        <v>41.5</v>
      </c>
      <c r="T29">
        <v>40.1</v>
      </c>
      <c r="U29">
        <v>37.9</v>
      </c>
      <c r="V29">
        <v>34</v>
      </c>
      <c r="W29">
        <v>31.9</v>
      </c>
      <c r="X29">
        <v>28.7</v>
      </c>
      <c r="Y29">
        <v>27.3</v>
      </c>
      <c r="AA29">
        <v>23.8</v>
      </c>
    </row>
    <row r="30" spans="1:27" x14ac:dyDescent="0.25">
      <c r="A30" s="4" t="s">
        <v>59</v>
      </c>
      <c r="B30" t="s">
        <v>60</v>
      </c>
      <c r="O30" t="s">
        <v>60</v>
      </c>
    </row>
    <row r="31" spans="1:27" x14ac:dyDescent="0.25">
      <c r="A31" s="4" t="s">
        <v>61</v>
      </c>
      <c r="B31" t="s">
        <v>62</v>
      </c>
      <c r="O31" t="s">
        <v>62</v>
      </c>
    </row>
    <row r="32" spans="1:27" x14ac:dyDescent="0.25">
      <c r="A32" s="4" t="s">
        <v>63</v>
      </c>
      <c r="B32" t="s">
        <v>64</v>
      </c>
      <c r="F32">
        <v>17.8</v>
      </c>
      <c r="J32">
        <v>8.1999999999999993</v>
      </c>
      <c r="O32" t="s">
        <v>64</v>
      </c>
      <c r="S32">
        <v>73</v>
      </c>
      <c r="W32">
        <v>61.6</v>
      </c>
    </row>
    <row r="33" spans="1:27" x14ac:dyDescent="0.25">
      <c r="A33" s="4" t="s">
        <v>65</v>
      </c>
      <c r="B33" t="s">
        <v>66</v>
      </c>
      <c r="E33">
        <v>28.2</v>
      </c>
      <c r="L33">
        <v>17.2</v>
      </c>
      <c r="O33" t="s">
        <v>66</v>
      </c>
      <c r="R33">
        <v>65.3</v>
      </c>
      <c r="Y33">
        <v>55.8</v>
      </c>
    </row>
    <row r="34" spans="1:27" x14ac:dyDescent="0.25">
      <c r="A34" s="4" t="s">
        <v>67</v>
      </c>
      <c r="B34" t="s">
        <v>68</v>
      </c>
      <c r="F34">
        <v>64.400000000000006</v>
      </c>
      <c r="K34">
        <v>65.900000000000006</v>
      </c>
      <c r="O34" t="s">
        <v>68</v>
      </c>
      <c r="S34">
        <v>95.2</v>
      </c>
      <c r="X34">
        <v>92.7</v>
      </c>
    </row>
    <row r="35" spans="1:27" s="2" customFormat="1" x14ac:dyDescent="0.25">
      <c r="A35" s="5" t="s">
        <v>69</v>
      </c>
      <c r="B35" s="2" t="s">
        <v>70</v>
      </c>
      <c r="C35" s="2">
        <v>0.2</v>
      </c>
      <c r="G35" s="2">
        <v>0.2</v>
      </c>
      <c r="J35" s="2">
        <v>0.2</v>
      </c>
      <c r="M35" s="2">
        <v>0.2</v>
      </c>
      <c r="O35" s="2" t="s">
        <v>70</v>
      </c>
      <c r="P35" s="2">
        <v>0.7</v>
      </c>
      <c r="T35" s="2">
        <v>0.7</v>
      </c>
      <c r="W35" s="2">
        <v>0.5</v>
      </c>
      <c r="Z35" s="2">
        <v>0.5</v>
      </c>
    </row>
    <row r="36" spans="1:27" x14ac:dyDescent="0.25">
      <c r="A36" s="4" t="s">
        <v>71</v>
      </c>
      <c r="B36" t="s">
        <v>72</v>
      </c>
      <c r="O36" t="s">
        <v>72</v>
      </c>
    </row>
    <row r="37" spans="1:27" s="2" customFormat="1" x14ac:dyDescent="0.25">
      <c r="A37" s="5" t="s">
        <v>73</v>
      </c>
      <c r="B37" s="2" t="s">
        <v>74</v>
      </c>
      <c r="C37" s="2">
        <v>0</v>
      </c>
      <c r="E37" s="2">
        <v>0</v>
      </c>
      <c r="I37" s="2">
        <v>0</v>
      </c>
      <c r="J37" s="2">
        <v>0</v>
      </c>
      <c r="K37" s="2">
        <v>0.1</v>
      </c>
      <c r="L37" s="2">
        <v>0</v>
      </c>
      <c r="M37" s="2">
        <v>0</v>
      </c>
      <c r="N37" s="2">
        <v>0</v>
      </c>
      <c r="O37" s="2" t="s">
        <v>74</v>
      </c>
      <c r="P37" s="2">
        <v>0.2</v>
      </c>
      <c r="R37" s="2">
        <v>0.2</v>
      </c>
      <c r="V37" s="2">
        <v>0.3</v>
      </c>
      <c r="W37" s="2">
        <v>0.3</v>
      </c>
      <c r="X37" s="2">
        <v>0.3</v>
      </c>
      <c r="Y37" s="2">
        <v>0.2</v>
      </c>
      <c r="Z37" s="2">
        <v>0.2</v>
      </c>
      <c r="AA37" s="2">
        <v>0</v>
      </c>
    </row>
    <row r="38" spans="1:27" x14ac:dyDescent="0.25">
      <c r="A38" s="4" t="s">
        <v>75</v>
      </c>
      <c r="B38" t="s">
        <v>76</v>
      </c>
      <c r="O38" t="s">
        <v>76</v>
      </c>
    </row>
    <row r="39" spans="1:27" x14ac:dyDescent="0.25">
      <c r="A39" s="4" t="s">
        <v>77</v>
      </c>
      <c r="B39" t="s">
        <v>78</v>
      </c>
      <c r="C39">
        <v>4.3</v>
      </c>
      <c r="F39">
        <v>4</v>
      </c>
      <c r="I39">
        <v>1.5</v>
      </c>
      <c r="L39">
        <v>1.3</v>
      </c>
      <c r="N39">
        <v>0.6</v>
      </c>
      <c r="O39" t="s">
        <v>78</v>
      </c>
      <c r="P39">
        <v>30.4</v>
      </c>
      <c r="S39">
        <v>29.8</v>
      </c>
      <c r="V39">
        <v>19.2</v>
      </c>
      <c r="Y39">
        <v>15.2</v>
      </c>
      <c r="AA39">
        <v>12</v>
      </c>
    </row>
    <row r="40" spans="1:27" x14ac:dyDescent="0.25">
      <c r="A40" s="4" t="s">
        <v>79</v>
      </c>
      <c r="B40" t="s">
        <v>80</v>
      </c>
      <c r="E40">
        <v>31.7</v>
      </c>
      <c r="H40">
        <v>18.5</v>
      </c>
      <c r="K40">
        <v>14.9</v>
      </c>
      <c r="M40">
        <v>11.2</v>
      </c>
      <c r="N40">
        <v>7.9</v>
      </c>
      <c r="O40" t="s">
        <v>80</v>
      </c>
      <c r="R40">
        <v>80.599999999999994</v>
      </c>
      <c r="U40">
        <v>70.5</v>
      </c>
      <c r="X40">
        <v>60.7</v>
      </c>
      <c r="Z40">
        <v>53.5</v>
      </c>
      <c r="AA40">
        <v>49.2</v>
      </c>
    </row>
    <row r="41" spans="1:27" x14ac:dyDescent="0.25">
      <c r="A41" s="4" t="s">
        <v>81</v>
      </c>
      <c r="B41" t="s">
        <v>82</v>
      </c>
      <c r="E41">
        <v>24.4</v>
      </c>
      <c r="K41">
        <v>30.4</v>
      </c>
      <c r="O41" t="s">
        <v>82</v>
      </c>
      <c r="R41">
        <v>81.900000000000006</v>
      </c>
      <c r="X41">
        <v>82</v>
      </c>
    </row>
    <row r="42" spans="1:27" x14ac:dyDescent="0.25">
      <c r="A42" s="4" t="s">
        <v>83</v>
      </c>
      <c r="B42" t="s">
        <v>84</v>
      </c>
      <c r="D42">
        <v>26</v>
      </c>
      <c r="J42">
        <v>31.8</v>
      </c>
      <c r="O42" t="s">
        <v>84</v>
      </c>
      <c r="Q42">
        <v>80.900000000000006</v>
      </c>
      <c r="W42">
        <v>81.400000000000006</v>
      </c>
    </row>
    <row r="43" spans="1:27" x14ac:dyDescent="0.25">
      <c r="A43" s="4" t="s">
        <v>85</v>
      </c>
      <c r="B43" t="s">
        <v>86</v>
      </c>
      <c r="G43">
        <v>94.3</v>
      </c>
      <c r="O43" t="s">
        <v>86</v>
      </c>
      <c r="T43">
        <v>99.7</v>
      </c>
    </row>
    <row r="44" spans="1:27" x14ac:dyDescent="0.25">
      <c r="A44" s="4" t="s">
        <v>87</v>
      </c>
      <c r="B44" t="s">
        <v>88</v>
      </c>
      <c r="H44">
        <v>55.1</v>
      </c>
      <c r="N44">
        <v>38.200000000000003</v>
      </c>
      <c r="O44" t="s">
        <v>88</v>
      </c>
      <c r="U44">
        <v>90.1</v>
      </c>
      <c r="AA44">
        <v>82.9</v>
      </c>
    </row>
    <row r="45" spans="1:27" x14ac:dyDescent="0.25">
      <c r="A45" s="4" t="s">
        <v>89</v>
      </c>
      <c r="B45" t="s">
        <v>90</v>
      </c>
      <c r="C45">
        <v>16.8</v>
      </c>
      <c r="D45">
        <v>19.899999999999999</v>
      </c>
      <c r="E45">
        <v>14.5</v>
      </c>
      <c r="F45">
        <v>12.2</v>
      </c>
      <c r="G45">
        <v>11.1</v>
      </c>
      <c r="H45">
        <v>9.9</v>
      </c>
      <c r="K45">
        <v>10.6</v>
      </c>
      <c r="L45">
        <v>9.1</v>
      </c>
      <c r="M45">
        <v>7.9</v>
      </c>
      <c r="N45">
        <v>6.4</v>
      </c>
      <c r="O45" t="s">
        <v>90</v>
      </c>
      <c r="P45">
        <v>54.1</v>
      </c>
      <c r="Q45">
        <v>60.8</v>
      </c>
      <c r="R45">
        <v>53.8</v>
      </c>
      <c r="S45">
        <v>51.5</v>
      </c>
      <c r="T45">
        <v>51.3</v>
      </c>
      <c r="U45">
        <v>47.2</v>
      </c>
      <c r="X45">
        <v>42.7</v>
      </c>
      <c r="Y45">
        <v>41.5</v>
      </c>
      <c r="Z45">
        <v>38.700000000000003</v>
      </c>
      <c r="AA45">
        <v>35.799999999999997</v>
      </c>
    </row>
    <row r="46" spans="1:27" x14ac:dyDescent="0.25">
      <c r="A46" s="4" t="s">
        <v>91</v>
      </c>
      <c r="B46" t="s">
        <v>92</v>
      </c>
      <c r="G46">
        <v>15</v>
      </c>
      <c r="O46" t="s">
        <v>92</v>
      </c>
      <c r="T46">
        <v>64.599999999999994</v>
      </c>
    </row>
    <row r="47" spans="1:27" x14ac:dyDescent="0.25">
      <c r="A47" s="4" t="s">
        <v>93</v>
      </c>
      <c r="B47" t="s">
        <v>94</v>
      </c>
      <c r="D47">
        <v>16.600000000000001</v>
      </c>
      <c r="J47">
        <v>8.4</v>
      </c>
      <c r="O47" t="s">
        <v>94</v>
      </c>
      <c r="Q47">
        <v>63.4</v>
      </c>
      <c r="W47">
        <v>53.7</v>
      </c>
    </row>
    <row r="48" spans="1:27" x14ac:dyDescent="0.25">
      <c r="A48" s="4" t="s">
        <v>95</v>
      </c>
      <c r="B48" t="s">
        <v>96</v>
      </c>
      <c r="C48">
        <v>6.7</v>
      </c>
      <c r="D48">
        <v>4.9000000000000004</v>
      </c>
      <c r="E48">
        <v>4.5999999999999996</v>
      </c>
      <c r="F48">
        <v>4.5</v>
      </c>
      <c r="G48">
        <v>4.4000000000000004</v>
      </c>
      <c r="H48">
        <v>3.2</v>
      </c>
      <c r="I48">
        <v>3.2</v>
      </c>
      <c r="J48">
        <v>1.8</v>
      </c>
      <c r="K48">
        <v>2.2999999999999998</v>
      </c>
      <c r="L48">
        <v>2.4</v>
      </c>
      <c r="M48">
        <v>1.6</v>
      </c>
      <c r="N48">
        <v>1.7</v>
      </c>
      <c r="O48" t="s">
        <v>96</v>
      </c>
      <c r="P48">
        <v>30.5</v>
      </c>
      <c r="Q48">
        <v>23.9</v>
      </c>
      <c r="R48">
        <v>23</v>
      </c>
      <c r="S48">
        <v>22.4</v>
      </c>
      <c r="T48">
        <v>23.1</v>
      </c>
      <c r="U48">
        <v>21</v>
      </c>
      <c r="V48">
        <v>20.5</v>
      </c>
      <c r="W48">
        <v>16.3</v>
      </c>
      <c r="X48">
        <v>15.9</v>
      </c>
      <c r="Y48">
        <v>15.6</v>
      </c>
      <c r="Z48">
        <v>13.2</v>
      </c>
      <c r="AA48">
        <v>13.7</v>
      </c>
    </row>
    <row r="49" spans="1:27" x14ac:dyDescent="0.25">
      <c r="A49" s="4" t="s">
        <v>97</v>
      </c>
      <c r="B49" t="s">
        <v>98</v>
      </c>
      <c r="O49" t="s">
        <v>98</v>
      </c>
    </row>
    <row r="50" spans="1:27" x14ac:dyDescent="0.25">
      <c r="A50" s="4" t="s">
        <v>99</v>
      </c>
      <c r="B50" t="s">
        <v>100</v>
      </c>
      <c r="O50" t="s">
        <v>100</v>
      </c>
    </row>
    <row r="51" spans="1:27" x14ac:dyDescent="0.25">
      <c r="A51" s="4" t="s">
        <v>101</v>
      </c>
      <c r="B51" t="s">
        <v>102</v>
      </c>
      <c r="O51" t="s">
        <v>102</v>
      </c>
    </row>
    <row r="52" spans="1:27" x14ac:dyDescent="0.25">
      <c r="A52" s="4" t="s">
        <v>103</v>
      </c>
      <c r="B52" t="s">
        <v>104</v>
      </c>
      <c r="O52" t="s">
        <v>104</v>
      </c>
    </row>
    <row r="53" spans="1:27" x14ac:dyDescent="0.25">
      <c r="A53" s="4" t="s">
        <v>105</v>
      </c>
      <c r="B53" t="s">
        <v>106</v>
      </c>
      <c r="G53">
        <v>0.1</v>
      </c>
      <c r="H53">
        <v>0</v>
      </c>
      <c r="I53">
        <v>0</v>
      </c>
      <c r="J53">
        <v>0</v>
      </c>
      <c r="K53">
        <v>0</v>
      </c>
      <c r="L53">
        <v>0.1</v>
      </c>
      <c r="M53">
        <v>0</v>
      </c>
      <c r="N53">
        <v>0</v>
      </c>
      <c r="O53" t="s">
        <v>106</v>
      </c>
      <c r="T53">
        <v>0.2</v>
      </c>
      <c r="U53">
        <v>0.1</v>
      </c>
      <c r="V53">
        <v>0</v>
      </c>
      <c r="W53">
        <v>0.1</v>
      </c>
      <c r="X53">
        <v>0</v>
      </c>
      <c r="Y53">
        <v>0.1</v>
      </c>
      <c r="Z53">
        <v>0.2</v>
      </c>
      <c r="AA53">
        <v>0.1</v>
      </c>
    </row>
    <row r="54" spans="1:27" x14ac:dyDescent="0.25">
      <c r="A54" s="4" t="s">
        <v>107</v>
      </c>
      <c r="B54" t="s">
        <v>108</v>
      </c>
      <c r="E54">
        <v>0</v>
      </c>
      <c r="G54">
        <v>0</v>
      </c>
      <c r="H54">
        <v>0</v>
      </c>
      <c r="I54">
        <v>0.1</v>
      </c>
      <c r="J54">
        <v>0.1</v>
      </c>
      <c r="K54">
        <v>0</v>
      </c>
      <c r="L54">
        <v>0</v>
      </c>
      <c r="M54">
        <v>0</v>
      </c>
      <c r="N54">
        <v>0</v>
      </c>
      <c r="O54" t="s">
        <v>108</v>
      </c>
      <c r="R54">
        <v>0.5</v>
      </c>
      <c r="T54">
        <v>1</v>
      </c>
      <c r="U54">
        <v>0.6</v>
      </c>
      <c r="V54">
        <v>0.6</v>
      </c>
      <c r="W54">
        <v>0.5</v>
      </c>
      <c r="X54">
        <v>0.3</v>
      </c>
      <c r="Y54">
        <v>0.6</v>
      </c>
      <c r="Z54">
        <v>0.7</v>
      </c>
      <c r="AA54">
        <v>0.6</v>
      </c>
    </row>
    <row r="55" spans="1:27" s="2" customFormat="1" x14ac:dyDescent="0.25">
      <c r="A55" s="5" t="s">
        <v>109</v>
      </c>
      <c r="B55" s="2" t="s">
        <v>110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0.2</v>
      </c>
      <c r="L55" s="2">
        <v>0</v>
      </c>
      <c r="M55" s="2">
        <v>0</v>
      </c>
      <c r="N55" s="2">
        <v>0</v>
      </c>
      <c r="O55" s="2" t="s">
        <v>110</v>
      </c>
      <c r="P55" s="2">
        <v>0.2</v>
      </c>
      <c r="Q55" s="2">
        <v>0.2</v>
      </c>
      <c r="R55" s="2">
        <v>0.2</v>
      </c>
      <c r="S55" s="2">
        <v>0.2</v>
      </c>
      <c r="T55" s="2">
        <v>0.2</v>
      </c>
      <c r="U55" s="2">
        <v>0.2</v>
      </c>
      <c r="V55" s="2">
        <v>0</v>
      </c>
      <c r="W55" s="2">
        <v>0.2</v>
      </c>
      <c r="X55" s="2">
        <v>0.2</v>
      </c>
      <c r="Y55" s="2">
        <v>0.2</v>
      </c>
      <c r="Z55" s="2">
        <v>0.2</v>
      </c>
      <c r="AA55" s="2">
        <v>0.2</v>
      </c>
    </row>
    <row r="56" spans="1:27" x14ac:dyDescent="0.25">
      <c r="A56" s="4" t="s">
        <v>111</v>
      </c>
      <c r="B56" t="s">
        <v>112</v>
      </c>
      <c r="E56">
        <v>20.2</v>
      </c>
      <c r="O56" t="s">
        <v>112</v>
      </c>
      <c r="R56">
        <v>76.7</v>
      </c>
    </row>
    <row r="57" spans="1:27" x14ac:dyDescent="0.25">
      <c r="A57" s="4" t="s">
        <v>113</v>
      </c>
      <c r="B57" t="s">
        <v>114</v>
      </c>
      <c r="O57" t="s">
        <v>114</v>
      </c>
    </row>
    <row r="58" spans="1:27" s="2" customFormat="1" x14ac:dyDescent="0.25">
      <c r="A58" s="5" t="s">
        <v>115</v>
      </c>
      <c r="B58" s="2" t="s">
        <v>116</v>
      </c>
      <c r="C58" s="2">
        <v>0</v>
      </c>
      <c r="F58" s="2">
        <v>0.3</v>
      </c>
      <c r="G58" s="2">
        <v>0.3</v>
      </c>
      <c r="H58" s="2">
        <v>0.3</v>
      </c>
      <c r="I58" s="2">
        <v>0.1</v>
      </c>
      <c r="J58" s="2">
        <v>0</v>
      </c>
      <c r="K58" s="2">
        <v>0.1</v>
      </c>
      <c r="L58" s="2">
        <v>0.5</v>
      </c>
      <c r="M58" s="2">
        <v>0.1</v>
      </c>
      <c r="N58" s="2">
        <v>0</v>
      </c>
      <c r="O58" s="2" t="s">
        <v>116</v>
      </c>
      <c r="P58" s="2">
        <v>0.2</v>
      </c>
      <c r="S58" s="2">
        <v>0.4</v>
      </c>
      <c r="T58" s="2">
        <v>0.4</v>
      </c>
      <c r="U58" s="2">
        <v>0.5</v>
      </c>
      <c r="V58" s="2">
        <v>0.3</v>
      </c>
      <c r="W58" s="2">
        <v>0.5</v>
      </c>
      <c r="X58" s="2">
        <v>0.7</v>
      </c>
      <c r="Y58" s="2">
        <v>0.9</v>
      </c>
      <c r="Z58" s="2">
        <v>0.2</v>
      </c>
      <c r="AA58" s="2">
        <v>0.6</v>
      </c>
    </row>
    <row r="59" spans="1:27" x14ac:dyDescent="0.25">
      <c r="A59" s="4" t="s">
        <v>117</v>
      </c>
      <c r="B59" t="s">
        <v>118</v>
      </c>
      <c r="C59">
        <v>5.5</v>
      </c>
      <c r="D59">
        <v>3.9</v>
      </c>
      <c r="E59">
        <v>5.6</v>
      </c>
      <c r="F59">
        <v>6.7</v>
      </c>
      <c r="G59">
        <v>8.5</v>
      </c>
      <c r="H59">
        <v>5.7</v>
      </c>
      <c r="I59">
        <v>4.4000000000000004</v>
      </c>
      <c r="J59">
        <v>4.4000000000000004</v>
      </c>
      <c r="K59">
        <v>3.7</v>
      </c>
      <c r="L59">
        <v>3.2</v>
      </c>
      <c r="M59">
        <v>2.5</v>
      </c>
      <c r="N59">
        <v>2.9</v>
      </c>
      <c r="O59" t="s">
        <v>118</v>
      </c>
      <c r="P59">
        <v>30.2</v>
      </c>
      <c r="Q59">
        <v>30.1</v>
      </c>
      <c r="R59">
        <v>30.6</v>
      </c>
      <c r="S59">
        <v>38.5</v>
      </c>
      <c r="T59">
        <v>45.8</v>
      </c>
      <c r="U59">
        <v>36.799999999999997</v>
      </c>
      <c r="V59">
        <v>33.700000000000003</v>
      </c>
      <c r="W59">
        <v>33.4</v>
      </c>
      <c r="X59">
        <v>34.5</v>
      </c>
      <c r="Y59">
        <v>31.7</v>
      </c>
      <c r="Z59">
        <v>31.8</v>
      </c>
      <c r="AA59">
        <v>31</v>
      </c>
    </row>
    <row r="60" spans="1:27" x14ac:dyDescent="0.25">
      <c r="A60" s="4" t="s">
        <v>119</v>
      </c>
      <c r="B60" t="s">
        <v>120</v>
      </c>
      <c r="N60">
        <v>0.4</v>
      </c>
      <c r="O60" t="s">
        <v>120</v>
      </c>
      <c r="AA60">
        <v>28.6</v>
      </c>
    </row>
    <row r="61" spans="1:27" x14ac:dyDescent="0.25">
      <c r="A61" s="4" t="s">
        <v>121</v>
      </c>
      <c r="B61" t="s">
        <v>122</v>
      </c>
      <c r="O61" t="s">
        <v>122</v>
      </c>
    </row>
    <row r="62" spans="1:27" x14ac:dyDescent="0.25">
      <c r="A62" s="4" t="s">
        <v>123</v>
      </c>
      <c r="B62" t="s">
        <v>124</v>
      </c>
      <c r="O62" t="s">
        <v>124</v>
      </c>
    </row>
    <row r="63" spans="1:27" x14ac:dyDescent="0.25">
      <c r="A63" s="4" t="s">
        <v>125</v>
      </c>
      <c r="B63" t="s">
        <v>126</v>
      </c>
      <c r="C63">
        <v>34.799999999999997</v>
      </c>
      <c r="D63">
        <v>32.700000000000003</v>
      </c>
      <c r="E63">
        <v>29.1</v>
      </c>
      <c r="F63">
        <v>25.8</v>
      </c>
      <c r="G63">
        <v>22.4</v>
      </c>
      <c r="H63">
        <v>18.3</v>
      </c>
      <c r="I63">
        <v>17.899999999999999</v>
      </c>
      <c r="J63">
        <v>15.7</v>
      </c>
      <c r="K63">
        <v>14.8</v>
      </c>
      <c r="L63">
        <v>12.9</v>
      </c>
      <c r="M63">
        <v>10.7</v>
      </c>
      <c r="N63">
        <v>8.1</v>
      </c>
      <c r="O63" t="s">
        <v>126</v>
      </c>
      <c r="P63">
        <v>84.7</v>
      </c>
      <c r="Q63">
        <v>82.7</v>
      </c>
      <c r="R63">
        <v>79.7</v>
      </c>
      <c r="S63">
        <v>77.2</v>
      </c>
      <c r="T63">
        <v>74.900000000000006</v>
      </c>
      <c r="U63">
        <v>71.3</v>
      </c>
      <c r="V63">
        <v>69.099999999999994</v>
      </c>
      <c r="W63">
        <v>65.7</v>
      </c>
      <c r="X63">
        <v>63.4</v>
      </c>
      <c r="Y63">
        <v>60.3</v>
      </c>
      <c r="Z63">
        <v>55.6</v>
      </c>
      <c r="AA63">
        <v>51.9</v>
      </c>
    </row>
    <row r="64" spans="1:27" x14ac:dyDescent="0.25">
      <c r="A64" s="4" t="s">
        <v>127</v>
      </c>
      <c r="B64" t="s">
        <v>128</v>
      </c>
      <c r="O64" t="s">
        <v>128</v>
      </c>
    </row>
    <row r="65" spans="1:27" x14ac:dyDescent="0.25">
      <c r="A65" s="4" t="s">
        <v>129</v>
      </c>
      <c r="B65" t="s">
        <v>130</v>
      </c>
      <c r="C65">
        <v>7.3</v>
      </c>
      <c r="D65">
        <v>6.6</v>
      </c>
      <c r="E65">
        <v>5.7</v>
      </c>
      <c r="F65">
        <v>5.8</v>
      </c>
      <c r="G65">
        <v>4.8</v>
      </c>
      <c r="H65">
        <v>4.7</v>
      </c>
      <c r="I65">
        <v>4</v>
      </c>
      <c r="J65">
        <v>3.3</v>
      </c>
      <c r="K65">
        <v>2.7</v>
      </c>
      <c r="L65">
        <v>2.5</v>
      </c>
      <c r="M65">
        <v>2.4</v>
      </c>
      <c r="N65">
        <v>2</v>
      </c>
      <c r="O65" t="s">
        <v>130</v>
      </c>
      <c r="P65">
        <v>41.4</v>
      </c>
      <c r="Q65">
        <v>38.700000000000003</v>
      </c>
      <c r="R65">
        <v>35.4</v>
      </c>
      <c r="S65">
        <v>33.700000000000003</v>
      </c>
      <c r="T65">
        <v>29.2</v>
      </c>
      <c r="U65">
        <v>26.5</v>
      </c>
      <c r="V65">
        <v>23.2</v>
      </c>
      <c r="W65">
        <v>20.100000000000001</v>
      </c>
      <c r="X65">
        <v>16.8</v>
      </c>
      <c r="Y65">
        <v>16.7</v>
      </c>
      <c r="Z65">
        <v>16</v>
      </c>
      <c r="AA65">
        <v>15</v>
      </c>
    </row>
    <row r="66" spans="1:27" x14ac:dyDescent="0.25">
      <c r="A66" s="4" t="s">
        <v>131</v>
      </c>
      <c r="B66" t="s">
        <v>132</v>
      </c>
      <c r="C66">
        <v>28.4</v>
      </c>
      <c r="F66">
        <v>14.5</v>
      </c>
      <c r="G66">
        <v>15.1</v>
      </c>
      <c r="H66">
        <v>11.9</v>
      </c>
      <c r="I66">
        <v>8.1</v>
      </c>
      <c r="J66">
        <v>8.5</v>
      </c>
      <c r="K66">
        <v>7.5</v>
      </c>
      <c r="L66">
        <v>7.2</v>
      </c>
      <c r="M66">
        <v>5.6</v>
      </c>
      <c r="N66">
        <v>4.7</v>
      </c>
      <c r="O66" t="s">
        <v>132</v>
      </c>
      <c r="P66">
        <v>72.7</v>
      </c>
      <c r="S66">
        <v>53.4</v>
      </c>
      <c r="T66">
        <v>54.9</v>
      </c>
      <c r="U66">
        <v>46.5</v>
      </c>
      <c r="V66">
        <v>41.3</v>
      </c>
      <c r="W66">
        <v>40.4</v>
      </c>
      <c r="X66">
        <v>38.200000000000003</v>
      </c>
      <c r="Y66">
        <v>38.200000000000003</v>
      </c>
      <c r="Z66">
        <v>34.4</v>
      </c>
      <c r="AA66">
        <v>30.2</v>
      </c>
    </row>
    <row r="67" spans="1:27" x14ac:dyDescent="0.25">
      <c r="A67" s="4" t="s">
        <v>133</v>
      </c>
      <c r="B67" t="s">
        <v>134</v>
      </c>
      <c r="G67">
        <v>5.2</v>
      </c>
      <c r="K67">
        <v>4.7</v>
      </c>
      <c r="M67">
        <v>2.2000000000000002</v>
      </c>
      <c r="O67" t="s">
        <v>134</v>
      </c>
      <c r="T67">
        <v>77.7</v>
      </c>
      <c r="X67">
        <v>77.400000000000006</v>
      </c>
      <c r="Z67">
        <v>70.5</v>
      </c>
    </row>
    <row r="68" spans="1:27" x14ac:dyDescent="0.25">
      <c r="A68" s="4" t="s">
        <v>135</v>
      </c>
      <c r="B68" t="s">
        <v>136</v>
      </c>
      <c r="O68" t="s">
        <v>136</v>
      </c>
    </row>
    <row r="69" spans="1:27" x14ac:dyDescent="0.25">
      <c r="A69" s="4" t="s">
        <v>137</v>
      </c>
      <c r="B69" t="s">
        <v>138</v>
      </c>
      <c r="O69" t="s">
        <v>138</v>
      </c>
    </row>
    <row r="70" spans="1:27" s="2" customFormat="1" x14ac:dyDescent="0.25">
      <c r="A70" s="5" t="s">
        <v>139</v>
      </c>
      <c r="B70" s="2" t="s">
        <v>140</v>
      </c>
      <c r="C70" s="2">
        <v>0.5</v>
      </c>
      <c r="F70" s="2">
        <v>0.8</v>
      </c>
      <c r="G70" s="2">
        <v>0.8</v>
      </c>
      <c r="H70" s="2">
        <v>0.8</v>
      </c>
      <c r="I70" s="2">
        <v>0.8</v>
      </c>
      <c r="J70" s="2">
        <v>0.4</v>
      </c>
      <c r="K70" s="2">
        <v>0.5</v>
      </c>
      <c r="L70" s="2">
        <v>0.8</v>
      </c>
      <c r="M70" s="2">
        <v>0.7</v>
      </c>
      <c r="N70" s="2">
        <v>1.1000000000000001</v>
      </c>
      <c r="O70" s="2" t="s">
        <v>140</v>
      </c>
      <c r="P70" s="2">
        <v>1.5</v>
      </c>
      <c r="S70" s="2">
        <v>2.1</v>
      </c>
      <c r="T70" s="2">
        <v>2.1</v>
      </c>
      <c r="U70" s="2">
        <v>2.2999999999999998</v>
      </c>
      <c r="V70" s="2">
        <v>2.4</v>
      </c>
      <c r="W70" s="2">
        <v>1.5</v>
      </c>
      <c r="X70" s="2">
        <v>1.7</v>
      </c>
      <c r="Y70" s="2">
        <v>2.2999999999999998</v>
      </c>
      <c r="Z70" s="2">
        <v>2.2999999999999998</v>
      </c>
      <c r="AA70" s="2">
        <v>2.8</v>
      </c>
    </row>
    <row r="71" spans="1:27" s="2" customFormat="1" x14ac:dyDescent="0.25">
      <c r="A71" s="5" t="s">
        <v>141</v>
      </c>
      <c r="B71" s="2" t="s">
        <v>142</v>
      </c>
      <c r="F71" s="2">
        <v>2.2999999999999998</v>
      </c>
      <c r="G71" s="2">
        <v>1</v>
      </c>
      <c r="H71" s="2">
        <v>0.8</v>
      </c>
      <c r="I71" s="2">
        <v>0.7</v>
      </c>
      <c r="J71" s="2">
        <v>0.4</v>
      </c>
      <c r="K71" s="2">
        <v>0.4</v>
      </c>
      <c r="L71" s="2">
        <v>0.6</v>
      </c>
      <c r="M71" s="2">
        <v>0.7</v>
      </c>
      <c r="N71" s="2">
        <v>1</v>
      </c>
      <c r="O71" s="2" t="s">
        <v>142</v>
      </c>
      <c r="S71" s="2">
        <v>12.1</v>
      </c>
      <c r="T71" s="2">
        <v>8.1999999999999993</v>
      </c>
      <c r="U71" s="2">
        <v>5.5</v>
      </c>
      <c r="V71" s="2">
        <v>3.1</v>
      </c>
      <c r="W71" s="2">
        <v>2.2999999999999998</v>
      </c>
      <c r="X71" s="2">
        <v>2.2000000000000002</v>
      </c>
      <c r="Y71" s="2">
        <v>2.9</v>
      </c>
      <c r="Z71" s="2">
        <v>3.9</v>
      </c>
      <c r="AA71" s="2">
        <v>3.4</v>
      </c>
    </row>
    <row r="72" spans="1:27" x14ac:dyDescent="0.25">
      <c r="A72" s="4" t="s">
        <v>143</v>
      </c>
      <c r="B72" t="s">
        <v>144</v>
      </c>
      <c r="G72">
        <v>39.200000000000003</v>
      </c>
      <c r="M72">
        <v>35.200000000000003</v>
      </c>
      <c r="O72" t="s">
        <v>144</v>
      </c>
      <c r="T72">
        <v>95.9</v>
      </c>
      <c r="Z72">
        <v>93.5</v>
      </c>
    </row>
    <row r="73" spans="1:27" x14ac:dyDescent="0.25">
      <c r="A73" s="4" t="s">
        <v>145</v>
      </c>
      <c r="B73" t="s">
        <v>146</v>
      </c>
      <c r="O73" t="s">
        <v>146</v>
      </c>
    </row>
    <row r="74" spans="1:27" x14ac:dyDescent="0.25">
      <c r="A74" s="4" t="s">
        <v>147</v>
      </c>
      <c r="B74" t="s">
        <v>148</v>
      </c>
      <c r="D74">
        <v>52.5</v>
      </c>
      <c r="E74">
        <v>50.6</v>
      </c>
      <c r="F74">
        <v>49.8</v>
      </c>
      <c r="G74">
        <v>47.4</v>
      </c>
      <c r="H74">
        <v>46.2</v>
      </c>
      <c r="I74">
        <v>44.5</v>
      </c>
      <c r="J74">
        <v>43.4</v>
      </c>
      <c r="K74">
        <v>42.6</v>
      </c>
      <c r="L74">
        <v>42</v>
      </c>
      <c r="M74">
        <v>40.1</v>
      </c>
      <c r="N74">
        <v>38</v>
      </c>
      <c r="O74" t="s">
        <v>148</v>
      </c>
      <c r="Q74">
        <v>85.2</v>
      </c>
      <c r="R74">
        <v>86</v>
      </c>
      <c r="S74">
        <v>87.8</v>
      </c>
      <c r="T74">
        <v>85.9</v>
      </c>
      <c r="U74">
        <v>85</v>
      </c>
      <c r="V74">
        <v>83.6</v>
      </c>
      <c r="W74">
        <v>82.8</v>
      </c>
      <c r="X74">
        <v>82.2</v>
      </c>
      <c r="Y74">
        <v>81.7</v>
      </c>
      <c r="Z74">
        <v>80.900000000000006</v>
      </c>
      <c r="AA74">
        <v>80.5</v>
      </c>
    </row>
    <row r="75" spans="1:27" s="2" customFormat="1" x14ac:dyDescent="0.25">
      <c r="A75" s="5" t="s">
        <v>149</v>
      </c>
      <c r="B75" s="2" t="s">
        <v>150</v>
      </c>
      <c r="C75" s="2">
        <v>0</v>
      </c>
      <c r="F75" s="2">
        <v>0</v>
      </c>
      <c r="G75" s="2">
        <v>0</v>
      </c>
      <c r="H75" s="2">
        <v>0.1</v>
      </c>
      <c r="I75" s="2">
        <v>0.1</v>
      </c>
      <c r="J75" s="2">
        <v>0.1</v>
      </c>
      <c r="K75" s="2">
        <v>0.1</v>
      </c>
      <c r="L75" s="2">
        <v>0.1</v>
      </c>
      <c r="M75" s="2">
        <v>0</v>
      </c>
      <c r="N75" s="2">
        <v>0</v>
      </c>
      <c r="O75" s="2" t="s">
        <v>150</v>
      </c>
      <c r="P75" s="2">
        <v>0.2</v>
      </c>
      <c r="S75" s="2">
        <v>0.2</v>
      </c>
      <c r="T75" s="2">
        <v>0.1</v>
      </c>
      <c r="U75" s="2">
        <v>0.2</v>
      </c>
      <c r="V75" s="2">
        <v>0.2</v>
      </c>
      <c r="W75" s="2">
        <v>0.1</v>
      </c>
      <c r="X75" s="2">
        <v>0.2</v>
      </c>
      <c r="Y75" s="2">
        <v>0.1</v>
      </c>
      <c r="Z75" s="2">
        <v>0.1</v>
      </c>
      <c r="AA75" s="2">
        <v>0.1</v>
      </c>
    </row>
    <row r="76" spans="1:27" x14ac:dyDescent="0.25">
      <c r="A76" s="4" t="s">
        <v>151</v>
      </c>
      <c r="B76" t="s">
        <v>152</v>
      </c>
      <c r="E76">
        <v>2.2999999999999998</v>
      </c>
      <c r="K76">
        <v>1.6</v>
      </c>
      <c r="O76" t="s">
        <v>152</v>
      </c>
      <c r="R76">
        <v>42.3</v>
      </c>
      <c r="X76">
        <v>37.299999999999997</v>
      </c>
    </row>
    <row r="77" spans="1:27" s="2" customFormat="1" x14ac:dyDescent="0.25">
      <c r="A77" s="5" t="s">
        <v>153</v>
      </c>
      <c r="B77" s="2" t="s">
        <v>154</v>
      </c>
      <c r="C77" s="2">
        <v>0</v>
      </c>
      <c r="F77" s="2">
        <v>0.2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0.1</v>
      </c>
      <c r="N77" s="2">
        <v>0</v>
      </c>
      <c r="O77" s="2" t="s">
        <v>154</v>
      </c>
      <c r="P77" s="2">
        <v>0.2</v>
      </c>
      <c r="S77" s="2">
        <v>0.4</v>
      </c>
      <c r="T77" s="2">
        <v>0.2</v>
      </c>
      <c r="U77" s="2">
        <v>0.2</v>
      </c>
      <c r="V77" s="2">
        <v>0.2</v>
      </c>
      <c r="W77" s="2">
        <v>0.1</v>
      </c>
      <c r="X77" s="2">
        <v>0.1</v>
      </c>
      <c r="Y77" s="2">
        <v>0.3</v>
      </c>
      <c r="Z77" s="2">
        <v>0.3</v>
      </c>
      <c r="AA77" s="2">
        <v>0.2</v>
      </c>
    </row>
    <row r="78" spans="1:27" x14ac:dyDescent="0.25">
      <c r="A78" s="4" t="s">
        <v>155</v>
      </c>
      <c r="B78" t="s">
        <v>156</v>
      </c>
      <c r="O78" t="s">
        <v>156</v>
      </c>
    </row>
    <row r="79" spans="1:27" x14ac:dyDescent="0.25">
      <c r="A79" s="4" t="s">
        <v>157</v>
      </c>
      <c r="B79" t="s">
        <v>158</v>
      </c>
      <c r="H79">
        <v>8.1</v>
      </c>
      <c r="O79" t="s">
        <v>158</v>
      </c>
      <c r="U79">
        <v>51.6</v>
      </c>
    </row>
    <row r="80" spans="1:27" x14ac:dyDescent="0.25">
      <c r="A80" s="4" t="s">
        <v>159</v>
      </c>
      <c r="B80" t="s">
        <v>160</v>
      </c>
      <c r="H80">
        <v>8</v>
      </c>
      <c r="O80" t="s">
        <v>160</v>
      </c>
      <c r="U80">
        <v>56.1</v>
      </c>
    </row>
    <row r="81" spans="1:27" s="2" customFormat="1" x14ac:dyDescent="0.25">
      <c r="A81" s="5" t="s">
        <v>161</v>
      </c>
      <c r="B81" s="2" t="s">
        <v>162</v>
      </c>
      <c r="G81" s="2">
        <v>0.4</v>
      </c>
      <c r="H81" s="2">
        <v>0.5</v>
      </c>
      <c r="I81" s="2">
        <v>0.2</v>
      </c>
      <c r="J81" s="2">
        <v>0.3</v>
      </c>
      <c r="K81" s="2">
        <v>0.3</v>
      </c>
      <c r="L81" s="2">
        <v>0.2</v>
      </c>
      <c r="M81" s="2">
        <v>0.1</v>
      </c>
      <c r="N81" s="2">
        <v>0.4</v>
      </c>
      <c r="O81" s="2" t="s">
        <v>162</v>
      </c>
      <c r="T81" s="2">
        <v>1.2</v>
      </c>
      <c r="U81" s="2">
        <v>1.2</v>
      </c>
      <c r="V81" s="2">
        <v>0.8</v>
      </c>
      <c r="W81" s="2">
        <v>0.8</v>
      </c>
      <c r="X81" s="2">
        <v>1</v>
      </c>
      <c r="Y81" s="2">
        <v>0.6</v>
      </c>
      <c r="Z81" s="2">
        <v>0.7</v>
      </c>
      <c r="AA81" s="2">
        <v>0.7</v>
      </c>
    </row>
    <row r="82" spans="1:27" x14ac:dyDescent="0.25">
      <c r="A82" s="4" t="s">
        <v>163</v>
      </c>
      <c r="B82" t="s">
        <v>164</v>
      </c>
      <c r="C82">
        <v>19.2</v>
      </c>
      <c r="D82">
        <v>19</v>
      </c>
      <c r="E82">
        <v>10.3</v>
      </c>
      <c r="F82">
        <v>10.4</v>
      </c>
      <c r="G82">
        <v>9.9</v>
      </c>
      <c r="H82">
        <v>10.7</v>
      </c>
      <c r="I82">
        <v>10.3</v>
      </c>
      <c r="J82">
        <v>11.6</v>
      </c>
      <c r="K82">
        <v>10.199999999999999</v>
      </c>
      <c r="L82">
        <v>10.1</v>
      </c>
      <c r="M82">
        <v>12</v>
      </c>
      <c r="N82">
        <v>11.1</v>
      </c>
      <c r="O82" t="s">
        <v>164</v>
      </c>
      <c r="P82">
        <v>73.5</v>
      </c>
      <c r="Q82">
        <v>76.099999999999994</v>
      </c>
      <c r="R82">
        <v>62.8</v>
      </c>
      <c r="S82">
        <v>62.4</v>
      </c>
      <c r="T82">
        <v>58.8</v>
      </c>
      <c r="U82">
        <v>61.3</v>
      </c>
      <c r="V82">
        <v>62.2</v>
      </c>
      <c r="W82">
        <v>64.5</v>
      </c>
      <c r="X82">
        <v>60</v>
      </c>
      <c r="Y82">
        <v>59.9</v>
      </c>
      <c r="Z82">
        <v>60.8</v>
      </c>
      <c r="AA82">
        <v>59</v>
      </c>
    </row>
    <row r="83" spans="1:27" x14ac:dyDescent="0.25">
      <c r="A83" s="4" t="s">
        <v>165</v>
      </c>
      <c r="B83" t="s">
        <v>166</v>
      </c>
      <c r="H83">
        <v>24.1</v>
      </c>
      <c r="O83" t="s">
        <v>166</v>
      </c>
      <c r="U83">
        <v>76.7</v>
      </c>
    </row>
    <row r="84" spans="1:27" x14ac:dyDescent="0.25">
      <c r="A84" s="4" t="s">
        <v>167</v>
      </c>
      <c r="B84" t="s">
        <v>168</v>
      </c>
      <c r="O84" t="s">
        <v>168</v>
      </c>
    </row>
    <row r="85" spans="1:27" x14ac:dyDescent="0.25">
      <c r="A85" s="4" t="s">
        <v>169</v>
      </c>
      <c r="B85" t="s">
        <v>170</v>
      </c>
      <c r="E85">
        <v>63</v>
      </c>
      <c r="J85">
        <v>60.3</v>
      </c>
      <c r="O85" t="s">
        <v>170</v>
      </c>
      <c r="R85">
        <v>95</v>
      </c>
      <c r="W85">
        <v>94.9</v>
      </c>
    </row>
    <row r="86" spans="1:27" x14ac:dyDescent="0.25">
      <c r="A86" s="4" t="s">
        <v>171</v>
      </c>
      <c r="B86" t="s">
        <v>172</v>
      </c>
      <c r="F86">
        <v>46.1</v>
      </c>
      <c r="M86">
        <v>25.4</v>
      </c>
      <c r="O86" t="s">
        <v>172</v>
      </c>
      <c r="S86">
        <v>87.3</v>
      </c>
      <c r="Z86">
        <v>80.7</v>
      </c>
    </row>
    <row r="87" spans="1:27" x14ac:dyDescent="0.25">
      <c r="A87" s="4" t="s">
        <v>173</v>
      </c>
      <c r="B87" t="s">
        <v>174</v>
      </c>
      <c r="E87">
        <v>56.6</v>
      </c>
      <c r="M87">
        <v>68.400000000000006</v>
      </c>
      <c r="O87" t="s">
        <v>174</v>
      </c>
      <c r="R87">
        <v>96.1</v>
      </c>
      <c r="Z87">
        <v>93.8</v>
      </c>
    </row>
    <row r="88" spans="1:27" x14ac:dyDescent="0.25">
      <c r="A88" s="4" t="s">
        <v>175</v>
      </c>
      <c r="B88" t="s">
        <v>176</v>
      </c>
      <c r="O88" t="s">
        <v>176</v>
      </c>
    </row>
    <row r="89" spans="1:27" s="2" customFormat="1" x14ac:dyDescent="0.25">
      <c r="A89" s="5" t="s">
        <v>177</v>
      </c>
      <c r="B89" s="2" t="s">
        <v>178</v>
      </c>
      <c r="C89" s="2">
        <v>0.5</v>
      </c>
      <c r="F89" s="2">
        <v>0.5</v>
      </c>
      <c r="G89" s="2">
        <v>0.7</v>
      </c>
      <c r="H89" s="2">
        <v>0.3</v>
      </c>
      <c r="I89" s="2">
        <v>0.6</v>
      </c>
      <c r="J89" s="2">
        <v>0.5</v>
      </c>
      <c r="K89" s="2">
        <v>0.3</v>
      </c>
      <c r="L89" s="2">
        <v>0.6</v>
      </c>
      <c r="M89" s="2">
        <v>1</v>
      </c>
      <c r="N89" s="2">
        <v>1.2</v>
      </c>
      <c r="O89" s="2" t="s">
        <v>178</v>
      </c>
      <c r="P89" s="2">
        <v>2.5</v>
      </c>
      <c r="S89" s="2">
        <v>1.6</v>
      </c>
      <c r="T89" s="2">
        <v>1.7</v>
      </c>
      <c r="U89" s="2">
        <v>1.6</v>
      </c>
      <c r="V89" s="2">
        <v>1.9</v>
      </c>
      <c r="W89" s="2">
        <v>1.7</v>
      </c>
      <c r="X89" s="2">
        <v>1.2</v>
      </c>
      <c r="Y89" s="2">
        <v>1.5</v>
      </c>
      <c r="Z89" s="2">
        <v>2.4</v>
      </c>
      <c r="AA89" s="2">
        <v>4.8</v>
      </c>
    </row>
    <row r="90" spans="1:27" x14ac:dyDescent="0.25">
      <c r="A90" s="4" t="s">
        <v>179</v>
      </c>
      <c r="B90" t="s">
        <v>180</v>
      </c>
      <c r="O90" t="s">
        <v>180</v>
      </c>
    </row>
    <row r="91" spans="1:27" x14ac:dyDescent="0.25">
      <c r="A91" s="4" t="s">
        <v>181</v>
      </c>
      <c r="B91" t="s">
        <v>182</v>
      </c>
      <c r="O91" t="s">
        <v>182</v>
      </c>
    </row>
    <row r="92" spans="1:27" x14ac:dyDescent="0.25">
      <c r="A92" s="4" t="s">
        <v>183</v>
      </c>
      <c r="B92" t="s">
        <v>184</v>
      </c>
      <c r="C92">
        <v>9.3000000000000007</v>
      </c>
      <c r="I92">
        <v>11.2</v>
      </c>
      <c r="O92" t="s">
        <v>184</v>
      </c>
      <c r="P92">
        <v>45.1</v>
      </c>
      <c r="V92">
        <v>43.7</v>
      </c>
    </row>
    <row r="93" spans="1:27" x14ac:dyDescent="0.25">
      <c r="A93" s="4" t="s">
        <v>185</v>
      </c>
      <c r="B93" t="s">
        <v>186</v>
      </c>
      <c r="O93" t="s">
        <v>186</v>
      </c>
    </row>
    <row r="94" spans="1:27" x14ac:dyDescent="0.25">
      <c r="A94" s="4" t="s">
        <v>187</v>
      </c>
      <c r="B94" t="s">
        <v>188</v>
      </c>
      <c r="O94" t="s">
        <v>188</v>
      </c>
    </row>
    <row r="95" spans="1:27" x14ac:dyDescent="0.25">
      <c r="A95" s="4" t="s">
        <v>189</v>
      </c>
      <c r="B95" t="s">
        <v>190</v>
      </c>
      <c r="C95">
        <v>0.7</v>
      </c>
      <c r="D95">
        <v>0.6</v>
      </c>
      <c r="E95">
        <v>0.6</v>
      </c>
      <c r="F95">
        <v>0.6</v>
      </c>
      <c r="G95">
        <v>0.6</v>
      </c>
      <c r="H95">
        <v>0.6</v>
      </c>
      <c r="I95">
        <v>0.6</v>
      </c>
      <c r="J95">
        <v>0.5</v>
      </c>
      <c r="K95">
        <v>0.5</v>
      </c>
      <c r="L95">
        <v>0.5</v>
      </c>
      <c r="M95">
        <v>0.5</v>
      </c>
      <c r="N95">
        <v>0.5</v>
      </c>
      <c r="O95" t="s">
        <v>190</v>
      </c>
      <c r="P95">
        <v>3.7</v>
      </c>
      <c r="Q95">
        <v>3.6</v>
      </c>
      <c r="R95">
        <v>3.5</v>
      </c>
      <c r="S95">
        <v>3.3</v>
      </c>
      <c r="T95">
        <v>3</v>
      </c>
      <c r="U95">
        <v>2.9</v>
      </c>
      <c r="V95">
        <v>2.6</v>
      </c>
      <c r="W95">
        <v>2.2999999999999998</v>
      </c>
      <c r="X95">
        <v>2</v>
      </c>
      <c r="Y95">
        <v>2</v>
      </c>
      <c r="Z95">
        <v>2</v>
      </c>
      <c r="AA95">
        <v>2</v>
      </c>
    </row>
    <row r="96" spans="1:27" x14ac:dyDescent="0.25">
      <c r="A96" s="4" t="s">
        <v>191</v>
      </c>
      <c r="B96" t="s">
        <v>192</v>
      </c>
      <c r="O96" t="s">
        <v>192</v>
      </c>
    </row>
    <row r="97" spans="1:27" x14ac:dyDescent="0.25">
      <c r="A97" s="4" t="s">
        <v>193</v>
      </c>
      <c r="B97" t="s">
        <v>194</v>
      </c>
      <c r="D97">
        <v>22</v>
      </c>
      <c r="E97">
        <v>23.9</v>
      </c>
      <c r="F97">
        <v>28.5</v>
      </c>
      <c r="G97">
        <v>27.7</v>
      </c>
      <c r="H97">
        <v>27.1</v>
      </c>
      <c r="I97">
        <v>23</v>
      </c>
      <c r="J97">
        <v>17.600000000000001</v>
      </c>
      <c r="K97">
        <v>16.899999999999999</v>
      </c>
      <c r="L97">
        <v>14.2</v>
      </c>
      <c r="M97">
        <v>15.6</v>
      </c>
      <c r="N97">
        <v>17.399999999999999</v>
      </c>
      <c r="O97" t="s">
        <v>194</v>
      </c>
      <c r="Q97">
        <v>55.8</v>
      </c>
      <c r="R97">
        <v>61</v>
      </c>
      <c r="S97">
        <v>64.400000000000006</v>
      </c>
      <c r="T97">
        <v>63.9</v>
      </c>
      <c r="U97">
        <v>61.4</v>
      </c>
      <c r="V97">
        <v>55.9</v>
      </c>
      <c r="W97">
        <v>53.5</v>
      </c>
      <c r="X97">
        <v>50.7</v>
      </c>
      <c r="Y97">
        <v>47.6</v>
      </c>
      <c r="Z97">
        <v>50.6</v>
      </c>
      <c r="AA97">
        <v>53.2</v>
      </c>
    </row>
    <row r="98" spans="1:27" x14ac:dyDescent="0.25">
      <c r="A98" s="4" t="s">
        <v>195</v>
      </c>
      <c r="B98" t="s">
        <v>196</v>
      </c>
      <c r="O98" t="s">
        <v>196</v>
      </c>
    </row>
    <row r="99" spans="1:27" x14ac:dyDescent="0.25">
      <c r="A99" s="4" t="s">
        <v>197</v>
      </c>
      <c r="B99" t="s">
        <v>198</v>
      </c>
      <c r="L99">
        <v>0.9</v>
      </c>
      <c r="M99">
        <v>1.2</v>
      </c>
      <c r="N99">
        <v>0.7</v>
      </c>
      <c r="O99" t="s">
        <v>198</v>
      </c>
      <c r="Y99">
        <v>4.5</v>
      </c>
      <c r="Z99">
        <v>5.8</v>
      </c>
      <c r="AA99">
        <v>6.9</v>
      </c>
    </row>
    <row r="100" spans="1:27" x14ac:dyDescent="0.25">
      <c r="A100" s="4" t="s">
        <v>199</v>
      </c>
      <c r="B100" t="s">
        <v>200</v>
      </c>
      <c r="O100" t="s">
        <v>200</v>
      </c>
    </row>
    <row r="101" spans="1:27" s="2" customFormat="1" x14ac:dyDescent="0.25">
      <c r="A101" s="5" t="s">
        <v>201</v>
      </c>
      <c r="B101" s="2" t="s">
        <v>202</v>
      </c>
      <c r="G101" s="2">
        <v>0.1</v>
      </c>
      <c r="H101" s="2">
        <v>0.7</v>
      </c>
      <c r="I101" s="2">
        <v>0.1</v>
      </c>
      <c r="J101" s="2">
        <v>0.1</v>
      </c>
      <c r="K101" s="2">
        <v>0</v>
      </c>
      <c r="L101" s="2">
        <v>0.1</v>
      </c>
      <c r="M101" s="2">
        <v>0.1</v>
      </c>
      <c r="N101" s="2">
        <v>0.1</v>
      </c>
      <c r="O101" s="2" t="s">
        <v>202</v>
      </c>
      <c r="T101" s="2">
        <v>2.9</v>
      </c>
      <c r="U101" s="2">
        <v>4.5</v>
      </c>
      <c r="V101" s="2">
        <v>1.9</v>
      </c>
      <c r="W101" s="2">
        <v>1.8</v>
      </c>
      <c r="X101" s="2">
        <v>1.5</v>
      </c>
      <c r="Y101" s="2">
        <v>1.4</v>
      </c>
      <c r="Z101" s="2">
        <v>2.5</v>
      </c>
      <c r="AA101" s="2">
        <v>2.8</v>
      </c>
    </row>
    <row r="102" spans="1:27" x14ac:dyDescent="0.25">
      <c r="A102" s="4" t="s">
        <v>203</v>
      </c>
      <c r="B102" t="s">
        <v>204</v>
      </c>
      <c r="O102" t="s">
        <v>204</v>
      </c>
    </row>
    <row r="103" spans="1:27" x14ac:dyDescent="0.25">
      <c r="A103" s="4" t="s">
        <v>205</v>
      </c>
      <c r="B103" t="s">
        <v>206</v>
      </c>
      <c r="O103" t="s">
        <v>206</v>
      </c>
    </row>
    <row r="104" spans="1:27" x14ac:dyDescent="0.25">
      <c r="A104" s="4" t="s">
        <v>207</v>
      </c>
      <c r="B104" t="s">
        <v>208</v>
      </c>
      <c r="C104">
        <v>50.3</v>
      </c>
      <c r="D104">
        <v>49.7</v>
      </c>
      <c r="E104">
        <v>49</v>
      </c>
      <c r="F104">
        <v>48.5</v>
      </c>
      <c r="G104">
        <v>45.1</v>
      </c>
      <c r="H104">
        <v>42.3</v>
      </c>
      <c r="I104">
        <v>40.9</v>
      </c>
      <c r="J104">
        <v>39.4</v>
      </c>
      <c r="K104">
        <v>38.1</v>
      </c>
      <c r="L104">
        <v>37.4</v>
      </c>
      <c r="M104">
        <v>35.799999999999997</v>
      </c>
      <c r="N104">
        <v>34</v>
      </c>
      <c r="O104" t="s">
        <v>208</v>
      </c>
      <c r="P104">
        <v>91.4</v>
      </c>
      <c r="Q104">
        <v>91.5</v>
      </c>
      <c r="R104">
        <v>91.5</v>
      </c>
      <c r="S104">
        <v>91.4</v>
      </c>
      <c r="T104">
        <v>90.6</v>
      </c>
      <c r="U104">
        <v>89.7</v>
      </c>
      <c r="V104">
        <v>89.2</v>
      </c>
      <c r="W104">
        <v>88.5</v>
      </c>
      <c r="X104">
        <v>87.8</v>
      </c>
      <c r="Y104">
        <v>87.5</v>
      </c>
      <c r="Z104">
        <v>86.8</v>
      </c>
      <c r="AA104">
        <v>86.2</v>
      </c>
    </row>
    <row r="105" spans="1:27" x14ac:dyDescent="0.25">
      <c r="A105" s="4" t="s">
        <v>209</v>
      </c>
      <c r="B105" t="s">
        <v>210</v>
      </c>
      <c r="O105" t="s">
        <v>210</v>
      </c>
    </row>
    <row r="106" spans="1:27" x14ac:dyDescent="0.25">
      <c r="A106" s="4" t="s">
        <v>211</v>
      </c>
      <c r="B106" t="s">
        <v>212</v>
      </c>
      <c r="C106">
        <v>34.9</v>
      </c>
      <c r="D106">
        <v>31.2</v>
      </c>
      <c r="E106">
        <v>19</v>
      </c>
      <c r="F106">
        <v>19.3</v>
      </c>
      <c r="G106">
        <v>21</v>
      </c>
      <c r="H106">
        <v>18</v>
      </c>
      <c r="I106">
        <v>23.9</v>
      </c>
      <c r="J106">
        <v>19.3</v>
      </c>
      <c r="K106">
        <v>19</v>
      </c>
      <c r="L106">
        <v>15.5</v>
      </c>
      <c r="M106">
        <v>13.3</v>
      </c>
      <c r="N106">
        <v>10.9</v>
      </c>
      <c r="O106" t="s">
        <v>212</v>
      </c>
      <c r="P106">
        <v>95.1</v>
      </c>
      <c r="Q106">
        <v>94</v>
      </c>
      <c r="R106">
        <v>88.6</v>
      </c>
      <c r="S106">
        <v>87</v>
      </c>
      <c r="T106">
        <v>87</v>
      </c>
      <c r="U106">
        <v>85.9</v>
      </c>
      <c r="V106">
        <v>87.9</v>
      </c>
      <c r="W106">
        <v>83</v>
      </c>
      <c r="X106">
        <v>83.2</v>
      </c>
      <c r="Y106">
        <v>81.900000000000006</v>
      </c>
      <c r="Z106">
        <v>75.5</v>
      </c>
      <c r="AA106">
        <v>72.2</v>
      </c>
    </row>
    <row r="107" spans="1:27" x14ac:dyDescent="0.25">
      <c r="A107" s="4" t="s">
        <v>213</v>
      </c>
      <c r="B107" t="s">
        <v>214</v>
      </c>
      <c r="O107" t="s">
        <v>214</v>
      </c>
    </row>
    <row r="108" spans="1:27" x14ac:dyDescent="0.25">
      <c r="A108" s="4" t="s">
        <v>215</v>
      </c>
      <c r="B108" t="s">
        <v>216</v>
      </c>
      <c r="O108" t="s">
        <v>216</v>
      </c>
    </row>
    <row r="109" spans="1:27" x14ac:dyDescent="0.25">
      <c r="A109" s="4" t="s">
        <v>217</v>
      </c>
      <c r="B109" t="s">
        <v>218</v>
      </c>
      <c r="G109">
        <v>39.9</v>
      </c>
      <c r="L109">
        <v>32.799999999999997</v>
      </c>
      <c r="N109">
        <v>22.5</v>
      </c>
      <c r="O109" t="s">
        <v>218</v>
      </c>
      <c r="T109">
        <v>92.9</v>
      </c>
      <c r="Y109">
        <v>91.1</v>
      </c>
      <c r="AA109">
        <v>87.4</v>
      </c>
    </row>
    <row r="110" spans="1:27" x14ac:dyDescent="0.25">
      <c r="A110" s="4" t="s">
        <v>219</v>
      </c>
      <c r="B110" t="s">
        <v>220</v>
      </c>
      <c r="O110" t="s">
        <v>220</v>
      </c>
    </row>
    <row r="111" spans="1:27" s="2" customFormat="1" x14ac:dyDescent="0.25">
      <c r="A111" s="5" t="s">
        <v>221</v>
      </c>
      <c r="B111" s="2" t="s">
        <v>222</v>
      </c>
      <c r="C111" s="2">
        <v>0.2</v>
      </c>
      <c r="F111" s="2">
        <v>0.1</v>
      </c>
      <c r="G111" s="2">
        <v>0</v>
      </c>
      <c r="H111" s="2">
        <v>0</v>
      </c>
      <c r="I111" s="2">
        <v>0.4</v>
      </c>
      <c r="J111" s="2">
        <v>0.1</v>
      </c>
      <c r="K111" s="2">
        <v>0.2</v>
      </c>
      <c r="L111" s="2">
        <v>0.4</v>
      </c>
      <c r="M111" s="2">
        <v>0.5</v>
      </c>
      <c r="N111" s="2">
        <v>0.5</v>
      </c>
      <c r="O111" s="2" t="s">
        <v>222</v>
      </c>
      <c r="P111" s="2">
        <v>0.5</v>
      </c>
      <c r="S111" s="2">
        <v>0.4</v>
      </c>
      <c r="T111" s="2">
        <v>0.3</v>
      </c>
      <c r="U111" s="2">
        <v>0.2</v>
      </c>
      <c r="V111" s="2">
        <v>0.6</v>
      </c>
      <c r="W111" s="2">
        <v>0.4</v>
      </c>
      <c r="X111" s="2">
        <v>0.6</v>
      </c>
      <c r="Y111" s="2">
        <v>1.2</v>
      </c>
      <c r="Z111" s="2">
        <v>1.5</v>
      </c>
      <c r="AA111" s="2">
        <v>1.2</v>
      </c>
    </row>
    <row r="112" spans="1:27" x14ac:dyDescent="0.25">
      <c r="A112" s="4" t="s">
        <v>223</v>
      </c>
      <c r="B112" t="s">
        <v>224</v>
      </c>
      <c r="H112">
        <v>0.6</v>
      </c>
      <c r="I112">
        <v>0.5</v>
      </c>
      <c r="L112">
        <v>1.1000000000000001</v>
      </c>
      <c r="O112" t="s">
        <v>224</v>
      </c>
      <c r="U112">
        <v>15.6</v>
      </c>
      <c r="V112">
        <v>16.5</v>
      </c>
      <c r="Y112">
        <v>14.9</v>
      </c>
    </row>
    <row r="113" spans="1:27" x14ac:dyDescent="0.25">
      <c r="A113" s="4" t="s">
        <v>225</v>
      </c>
      <c r="B113" t="s">
        <v>226</v>
      </c>
      <c r="I113">
        <v>1.5</v>
      </c>
      <c r="O113" t="s">
        <v>226</v>
      </c>
      <c r="V113">
        <v>57</v>
      </c>
    </row>
    <row r="114" spans="1:27" s="2" customFormat="1" x14ac:dyDescent="0.25">
      <c r="A114" s="5" t="s">
        <v>227</v>
      </c>
      <c r="B114" s="2" t="s">
        <v>228</v>
      </c>
      <c r="F114" s="2">
        <v>0</v>
      </c>
      <c r="G114" s="2">
        <v>0.2</v>
      </c>
      <c r="H114" s="2">
        <v>0</v>
      </c>
      <c r="I114" s="2">
        <v>0.1</v>
      </c>
      <c r="J114" s="2">
        <v>0.1</v>
      </c>
      <c r="K114" s="2">
        <v>0.1</v>
      </c>
      <c r="L114" s="2">
        <v>0.1</v>
      </c>
      <c r="M114" s="2">
        <v>0.1</v>
      </c>
      <c r="N114" s="2">
        <v>0.1</v>
      </c>
      <c r="O114" s="2" t="s">
        <v>228</v>
      </c>
      <c r="S114" s="2">
        <v>0.3</v>
      </c>
      <c r="T114" s="2">
        <v>0.4</v>
      </c>
      <c r="U114" s="2">
        <v>0.2</v>
      </c>
      <c r="V114" s="2">
        <v>0.3</v>
      </c>
      <c r="W114" s="2">
        <v>0.2</v>
      </c>
      <c r="X114" s="2">
        <v>0.1</v>
      </c>
      <c r="Y114" s="2">
        <v>0.2</v>
      </c>
      <c r="Z114" s="2">
        <v>0.2</v>
      </c>
      <c r="AA114" s="2">
        <v>0.5</v>
      </c>
    </row>
    <row r="115" spans="1:27" x14ac:dyDescent="0.25">
      <c r="A115" s="4" t="s">
        <v>229</v>
      </c>
      <c r="B115" t="s">
        <v>230</v>
      </c>
      <c r="D115">
        <v>0.2</v>
      </c>
      <c r="H115">
        <v>0.5</v>
      </c>
      <c r="J115">
        <v>0.5</v>
      </c>
      <c r="M115">
        <v>0.2</v>
      </c>
      <c r="O115" t="s">
        <v>230</v>
      </c>
      <c r="Q115">
        <v>2.5</v>
      </c>
      <c r="U115">
        <v>6</v>
      </c>
      <c r="W115">
        <v>4.7</v>
      </c>
      <c r="Z115">
        <v>4.2</v>
      </c>
    </row>
    <row r="116" spans="1:27" s="2" customFormat="1" x14ac:dyDescent="0.25">
      <c r="A116" s="5" t="s">
        <v>231</v>
      </c>
      <c r="B116" s="2" t="s">
        <v>232</v>
      </c>
      <c r="C116" s="2">
        <v>1.2</v>
      </c>
      <c r="F116" s="2">
        <v>0.8</v>
      </c>
      <c r="G116" s="2">
        <v>0.6</v>
      </c>
      <c r="H116" s="2">
        <v>0.6</v>
      </c>
      <c r="I116" s="2">
        <v>0.7</v>
      </c>
      <c r="J116" s="2">
        <v>0.7</v>
      </c>
      <c r="K116" s="2">
        <v>0.7</v>
      </c>
      <c r="L116" s="2">
        <v>0.9</v>
      </c>
      <c r="M116" s="2">
        <v>1.3</v>
      </c>
      <c r="N116" s="2">
        <v>1.2</v>
      </c>
      <c r="O116" s="2" t="s">
        <v>232</v>
      </c>
      <c r="P116" s="2">
        <v>3</v>
      </c>
      <c r="S116" s="2">
        <v>1.8</v>
      </c>
      <c r="T116" s="2">
        <v>1.5</v>
      </c>
      <c r="U116" s="2">
        <v>1.7</v>
      </c>
      <c r="V116" s="2">
        <v>1.4</v>
      </c>
      <c r="W116" s="2">
        <v>1.6</v>
      </c>
      <c r="X116" s="2">
        <v>1.7</v>
      </c>
      <c r="Y116" s="2">
        <v>1.8</v>
      </c>
      <c r="Z116" s="2">
        <v>2.5</v>
      </c>
      <c r="AA116" s="2">
        <v>2.4</v>
      </c>
    </row>
    <row r="117" spans="1:27" x14ac:dyDescent="0.25">
      <c r="A117" s="4" t="s">
        <v>233</v>
      </c>
      <c r="B117" t="s">
        <v>234</v>
      </c>
      <c r="E117">
        <v>2.7</v>
      </c>
      <c r="G117">
        <v>1.7</v>
      </c>
      <c r="O117" t="s">
        <v>234</v>
      </c>
      <c r="R117">
        <v>33.6</v>
      </c>
      <c r="T117">
        <v>29.3</v>
      </c>
    </row>
    <row r="118" spans="1:27" x14ac:dyDescent="0.25">
      <c r="A118" s="4" t="s">
        <v>235</v>
      </c>
      <c r="B118" t="s">
        <v>236</v>
      </c>
      <c r="E118">
        <v>1</v>
      </c>
      <c r="I118">
        <v>0.3</v>
      </c>
      <c r="K118">
        <v>0.1</v>
      </c>
      <c r="M118">
        <v>0.1</v>
      </c>
      <c r="O118" t="s">
        <v>236</v>
      </c>
      <c r="R118">
        <v>35.6</v>
      </c>
      <c r="V118">
        <v>24.4</v>
      </c>
      <c r="X118">
        <v>23</v>
      </c>
      <c r="Z118">
        <v>17.5</v>
      </c>
    </row>
    <row r="119" spans="1:27" s="2" customFormat="1" x14ac:dyDescent="0.25">
      <c r="A119" s="5" t="s">
        <v>237</v>
      </c>
      <c r="B119" s="2" t="s">
        <v>238</v>
      </c>
      <c r="K119" s="2">
        <v>0.5</v>
      </c>
      <c r="M119" s="2">
        <v>0</v>
      </c>
      <c r="O119" s="2" t="s">
        <v>238</v>
      </c>
      <c r="X119" s="2">
        <v>1.4</v>
      </c>
      <c r="Z119" s="2">
        <v>0.5</v>
      </c>
    </row>
    <row r="120" spans="1:27" x14ac:dyDescent="0.25">
      <c r="A120" s="4" t="s">
        <v>239</v>
      </c>
      <c r="B120" t="s">
        <v>240</v>
      </c>
      <c r="D120">
        <v>8.9</v>
      </c>
      <c r="E120">
        <v>5.6</v>
      </c>
      <c r="F120">
        <v>3.7</v>
      </c>
      <c r="G120">
        <v>1.7</v>
      </c>
      <c r="H120">
        <v>5.8</v>
      </c>
      <c r="I120">
        <v>0.5</v>
      </c>
      <c r="J120">
        <v>0.2</v>
      </c>
      <c r="K120">
        <v>0</v>
      </c>
      <c r="L120">
        <v>0.1</v>
      </c>
      <c r="M120">
        <v>0.1</v>
      </c>
      <c r="N120">
        <v>0</v>
      </c>
      <c r="O120" t="s">
        <v>240</v>
      </c>
      <c r="Q120">
        <v>61.6</v>
      </c>
      <c r="R120">
        <v>58.6</v>
      </c>
      <c r="S120">
        <v>52.9</v>
      </c>
      <c r="T120">
        <v>48.1</v>
      </c>
      <c r="U120">
        <v>48.9</v>
      </c>
      <c r="V120">
        <v>30.7</v>
      </c>
      <c r="W120">
        <v>20.3</v>
      </c>
      <c r="X120">
        <v>18</v>
      </c>
      <c r="Y120">
        <v>19</v>
      </c>
      <c r="Z120">
        <v>14.6</v>
      </c>
      <c r="AA120">
        <v>7</v>
      </c>
    </row>
    <row r="121" spans="1:27" x14ac:dyDescent="0.25">
      <c r="A121" s="4" t="s">
        <v>241</v>
      </c>
      <c r="B121" t="s">
        <v>242</v>
      </c>
      <c r="H121">
        <v>43.9</v>
      </c>
      <c r="O121" t="s">
        <v>242</v>
      </c>
      <c r="U121">
        <v>88.3</v>
      </c>
    </row>
    <row r="122" spans="1:27" x14ac:dyDescent="0.25">
      <c r="A122" s="4" t="s">
        <v>243</v>
      </c>
      <c r="B122" t="s">
        <v>244</v>
      </c>
      <c r="C122">
        <v>35.1</v>
      </c>
      <c r="D122">
        <v>31.4</v>
      </c>
      <c r="E122">
        <v>28.3</v>
      </c>
      <c r="F122">
        <v>22.3</v>
      </c>
      <c r="G122">
        <v>9.9</v>
      </c>
      <c r="H122">
        <v>12.1</v>
      </c>
      <c r="I122">
        <v>7.3</v>
      </c>
      <c r="J122">
        <v>7.9</v>
      </c>
      <c r="K122">
        <v>2.9</v>
      </c>
      <c r="L122">
        <v>1.4</v>
      </c>
      <c r="M122">
        <v>2.8</v>
      </c>
      <c r="N122">
        <v>0.9</v>
      </c>
      <c r="O122" t="s">
        <v>244</v>
      </c>
      <c r="P122">
        <v>92.2</v>
      </c>
      <c r="Q122">
        <v>93</v>
      </c>
      <c r="R122">
        <v>91.3</v>
      </c>
      <c r="S122">
        <v>91.2</v>
      </c>
      <c r="T122">
        <v>74</v>
      </c>
      <c r="U122">
        <v>79.900000000000006</v>
      </c>
      <c r="V122">
        <v>66.5</v>
      </c>
      <c r="W122">
        <v>66.900000000000006</v>
      </c>
      <c r="X122">
        <v>58.8</v>
      </c>
      <c r="Y122">
        <v>57.8</v>
      </c>
      <c r="Z122">
        <v>60.8</v>
      </c>
      <c r="AA122">
        <v>60.2</v>
      </c>
    </row>
    <row r="123" spans="1:27" x14ac:dyDescent="0.25">
      <c r="A123" s="4" t="s">
        <v>245</v>
      </c>
      <c r="B123" t="s">
        <v>246</v>
      </c>
      <c r="O123" t="s">
        <v>246</v>
      </c>
    </row>
    <row r="124" spans="1:27" x14ac:dyDescent="0.25">
      <c r="A124" s="4" t="s">
        <v>247</v>
      </c>
      <c r="B124" t="s">
        <v>248</v>
      </c>
      <c r="I124">
        <v>12.9</v>
      </c>
      <c r="O124" t="s">
        <v>248</v>
      </c>
      <c r="V124">
        <v>69.400000000000006</v>
      </c>
    </row>
    <row r="125" spans="1:27" x14ac:dyDescent="0.25">
      <c r="A125" s="4" t="s">
        <v>249</v>
      </c>
      <c r="B125" t="s">
        <v>250</v>
      </c>
      <c r="O125" t="s">
        <v>250</v>
      </c>
    </row>
    <row r="126" spans="1:27" x14ac:dyDescent="0.25">
      <c r="A126" s="4" t="s">
        <v>251</v>
      </c>
      <c r="B126" t="s">
        <v>252</v>
      </c>
      <c r="I126">
        <v>0.2</v>
      </c>
      <c r="K126">
        <v>0.2</v>
      </c>
      <c r="M126">
        <v>0.5</v>
      </c>
      <c r="O126" t="s">
        <v>252</v>
      </c>
      <c r="V126">
        <v>1.2</v>
      </c>
      <c r="X126">
        <v>1.2</v>
      </c>
      <c r="Z126">
        <v>1.5</v>
      </c>
    </row>
    <row r="127" spans="1:27" x14ac:dyDescent="0.25">
      <c r="A127" s="4" t="s">
        <v>253</v>
      </c>
      <c r="B127" t="s">
        <v>254</v>
      </c>
      <c r="O127" t="s">
        <v>254</v>
      </c>
    </row>
    <row r="128" spans="1:27" x14ac:dyDescent="0.25">
      <c r="A128" s="4" t="s">
        <v>255</v>
      </c>
      <c r="B128" t="s">
        <v>256</v>
      </c>
      <c r="O128" t="s">
        <v>256</v>
      </c>
    </row>
    <row r="129" spans="1:27" x14ac:dyDescent="0.25">
      <c r="A129" s="4" t="s">
        <v>257</v>
      </c>
      <c r="B129" t="s">
        <v>258</v>
      </c>
      <c r="E129">
        <v>31.8</v>
      </c>
      <c r="J129">
        <v>25.5</v>
      </c>
      <c r="O129" t="s">
        <v>258</v>
      </c>
      <c r="R129">
        <v>91.8</v>
      </c>
      <c r="W129">
        <v>88.1</v>
      </c>
    </row>
    <row r="130" spans="1:27" x14ac:dyDescent="0.25">
      <c r="A130" s="4" t="s">
        <v>259</v>
      </c>
      <c r="B130" t="s">
        <v>260</v>
      </c>
      <c r="N130">
        <v>0</v>
      </c>
      <c r="O130" t="s">
        <v>260</v>
      </c>
      <c r="AA130">
        <v>1.7</v>
      </c>
    </row>
    <row r="131" spans="1:27" x14ac:dyDescent="0.25">
      <c r="A131" s="4" t="s">
        <v>261</v>
      </c>
      <c r="B131" t="s">
        <v>262</v>
      </c>
      <c r="J131">
        <v>71.400000000000006</v>
      </c>
      <c r="O131" t="s">
        <v>262</v>
      </c>
      <c r="W131">
        <v>97.8</v>
      </c>
    </row>
    <row r="132" spans="1:27" x14ac:dyDescent="0.25">
      <c r="A132" s="4" t="s">
        <v>263</v>
      </c>
      <c r="B132" t="s">
        <v>264</v>
      </c>
      <c r="O132" t="s">
        <v>264</v>
      </c>
    </row>
    <row r="133" spans="1:27" x14ac:dyDescent="0.25">
      <c r="A133" s="4" t="s">
        <v>265</v>
      </c>
      <c r="B133" t="s">
        <v>266</v>
      </c>
      <c r="O133" t="s">
        <v>266</v>
      </c>
    </row>
    <row r="134" spans="1:27" x14ac:dyDescent="0.25">
      <c r="A134" s="4" t="s">
        <v>267</v>
      </c>
      <c r="B134" t="s">
        <v>268</v>
      </c>
      <c r="C134">
        <v>12.8</v>
      </c>
      <c r="D134">
        <v>12.6</v>
      </c>
      <c r="E134">
        <v>12.1</v>
      </c>
      <c r="F134">
        <v>11.6</v>
      </c>
      <c r="G134">
        <v>10.4</v>
      </c>
      <c r="H134">
        <v>10</v>
      </c>
      <c r="I134">
        <v>8.1</v>
      </c>
      <c r="J134">
        <v>7.5</v>
      </c>
      <c r="K134">
        <v>7</v>
      </c>
      <c r="L134">
        <v>6.7</v>
      </c>
      <c r="M134">
        <v>6.2</v>
      </c>
      <c r="N134">
        <v>5.7</v>
      </c>
      <c r="O134" t="s">
        <v>268</v>
      </c>
      <c r="P134">
        <v>45.4</v>
      </c>
      <c r="Q134">
        <v>45.3</v>
      </c>
      <c r="R134">
        <v>45.4</v>
      </c>
      <c r="S134">
        <v>44.8</v>
      </c>
      <c r="T134">
        <v>42.9</v>
      </c>
      <c r="U134">
        <v>41</v>
      </c>
      <c r="V134">
        <v>36.200000000000003</v>
      </c>
      <c r="W134">
        <v>34.6</v>
      </c>
      <c r="X134">
        <v>33.200000000000003</v>
      </c>
      <c r="Y134">
        <v>32.9</v>
      </c>
      <c r="Z134">
        <v>31.1</v>
      </c>
      <c r="AA134">
        <v>29.5</v>
      </c>
    </row>
    <row r="135" spans="1:27" x14ac:dyDescent="0.25">
      <c r="A135" s="4" t="s">
        <v>269</v>
      </c>
      <c r="B135" t="s">
        <v>270</v>
      </c>
      <c r="O135" t="s">
        <v>270</v>
      </c>
    </row>
    <row r="136" spans="1:27" x14ac:dyDescent="0.25">
      <c r="A136" s="4" t="s">
        <v>271</v>
      </c>
      <c r="B136" t="s">
        <v>272</v>
      </c>
      <c r="C136">
        <v>61.8</v>
      </c>
      <c r="D136">
        <v>59.7</v>
      </c>
      <c r="E136">
        <v>59.8</v>
      </c>
      <c r="F136">
        <v>60.5</v>
      </c>
      <c r="G136">
        <v>56.1</v>
      </c>
      <c r="H136">
        <v>54</v>
      </c>
      <c r="I136">
        <v>52.8</v>
      </c>
      <c r="J136">
        <v>51.6</v>
      </c>
      <c r="K136">
        <v>50.1</v>
      </c>
      <c r="L136">
        <v>49.8</v>
      </c>
      <c r="M136">
        <v>48.5</v>
      </c>
      <c r="N136">
        <v>47.2</v>
      </c>
      <c r="O136" t="s">
        <v>272</v>
      </c>
      <c r="P136">
        <v>92.5</v>
      </c>
      <c r="Q136">
        <v>92.3</v>
      </c>
      <c r="R136">
        <v>92.2</v>
      </c>
      <c r="S136">
        <v>92.2</v>
      </c>
      <c r="T136">
        <v>91.6</v>
      </c>
      <c r="U136">
        <v>91.1</v>
      </c>
      <c r="V136">
        <v>90.6</v>
      </c>
      <c r="W136">
        <v>90</v>
      </c>
      <c r="X136">
        <v>89.3</v>
      </c>
      <c r="Y136">
        <v>89</v>
      </c>
      <c r="Z136">
        <v>88.8</v>
      </c>
      <c r="AA136">
        <v>89</v>
      </c>
    </row>
    <row r="137" spans="1:27" x14ac:dyDescent="0.25">
      <c r="A137" s="4" t="s">
        <v>273</v>
      </c>
      <c r="B137" t="s">
        <v>274</v>
      </c>
      <c r="O137" t="s">
        <v>274</v>
      </c>
    </row>
    <row r="138" spans="1:27" x14ac:dyDescent="0.25">
      <c r="A138" s="4" t="s">
        <v>275</v>
      </c>
      <c r="B138" t="s">
        <v>276</v>
      </c>
      <c r="E138">
        <v>8.8000000000000007</v>
      </c>
      <c r="I138">
        <v>4</v>
      </c>
      <c r="L138">
        <v>2.7</v>
      </c>
      <c r="O138" t="s">
        <v>276</v>
      </c>
      <c r="R138">
        <v>68.900000000000006</v>
      </c>
      <c r="V138">
        <v>59.3</v>
      </c>
      <c r="Y138">
        <v>57</v>
      </c>
    </row>
    <row r="139" spans="1:27" x14ac:dyDescent="0.25">
      <c r="A139" s="4" t="s">
        <v>277</v>
      </c>
      <c r="B139" t="s">
        <v>278</v>
      </c>
      <c r="E139">
        <v>37.6</v>
      </c>
      <c r="F139">
        <v>36.6</v>
      </c>
      <c r="G139">
        <v>35</v>
      </c>
      <c r="H139">
        <v>33</v>
      </c>
      <c r="I139">
        <v>31.8</v>
      </c>
      <c r="J139">
        <v>30.1</v>
      </c>
      <c r="K139">
        <v>29</v>
      </c>
      <c r="L139">
        <v>28.1</v>
      </c>
      <c r="M139">
        <v>25.1</v>
      </c>
      <c r="N139">
        <v>21.4</v>
      </c>
      <c r="O139" t="s">
        <v>278</v>
      </c>
      <c r="R139">
        <v>88.2</v>
      </c>
      <c r="S139">
        <v>87.5</v>
      </c>
      <c r="T139">
        <v>86.9</v>
      </c>
      <c r="U139">
        <v>86.1</v>
      </c>
      <c r="V139">
        <v>85.3</v>
      </c>
      <c r="W139">
        <v>84.8</v>
      </c>
      <c r="X139">
        <v>84.2</v>
      </c>
      <c r="Y139">
        <v>83.4</v>
      </c>
      <c r="Z139">
        <v>81.599999999999994</v>
      </c>
      <c r="AA139">
        <v>79.900000000000006</v>
      </c>
    </row>
    <row r="140" spans="1:27" x14ac:dyDescent="0.25">
      <c r="A140" s="4" t="s">
        <v>279</v>
      </c>
      <c r="B140" t="s">
        <v>280</v>
      </c>
      <c r="C140">
        <v>33.6</v>
      </c>
      <c r="D140">
        <v>32.6</v>
      </c>
      <c r="E140">
        <v>31.1</v>
      </c>
      <c r="F140">
        <v>29.8</v>
      </c>
      <c r="G140">
        <v>27.6</v>
      </c>
      <c r="H140">
        <v>25.2</v>
      </c>
      <c r="I140">
        <v>24.4</v>
      </c>
      <c r="J140">
        <v>22.9</v>
      </c>
      <c r="K140">
        <v>22.1</v>
      </c>
      <c r="L140">
        <v>21.2</v>
      </c>
      <c r="M140">
        <v>19.2</v>
      </c>
      <c r="N140">
        <v>16.5</v>
      </c>
      <c r="O140" t="s">
        <v>280</v>
      </c>
      <c r="P140">
        <v>79.599999999999994</v>
      </c>
      <c r="Q140">
        <v>78.7</v>
      </c>
      <c r="R140">
        <v>77.3</v>
      </c>
      <c r="S140">
        <v>76.3</v>
      </c>
      <c r="T140">
        <v>74.7</v>
      </c>
      <c r="U140">
        <v>72.599999999999994</v>
      </c>
      <c r="V140">
        <v>71</v>
      </c>
      <c r="W140">
        <v>69.2</v>
      </c>
      <c r="X140">
        <v>68</v>
      </c>
      <c r="Y140">
        <v>66.7</v>
      </c>
      <c r="Z140">
        <v>64.5</v>
      </c>
      <c r="AA140">
        <v>62.4</v>
      </c>
    </row>
    <row r="141" spans="1:27" x14ac:dyDescent="0.25">
      <c r="A141" s="4" t="s">
        <v>281</v>
      </c>
      <c r="B141" t="s">
        <v>282</v>
      </c>
      <c r="E141">
        <v>61.9</v>
      </c>
      <c r="O141" t="s">
        <v>282</v>
      </c>
      <c r="R141">
        <v>92.2</v>
      </c>
    </row>
    <row r="142" spans="1:27" x14ac:dyDescent="0.25">
      <c r="A142" s="4" t="s">
        <v>283</v>
      </c>
      <c r="B142" t="s">
        <v>284</v>
      </c>
      <c r="O142" t="s">
        <v>284</v>
      </c>
    </row>
    <row r="143" spans="1:27" s="2" customFormat="1" x14ac:dyDescent="0.25">
      <c r="A143" s="5" t="s">
        <v>285</v>
      </c>
      <c r="B143" s="2" t="s">
        <v>286</v>
      </c>
      <c r="G143" s="2">
        <v>2.7</v>
      </c>
      <c r="H143" s="2">
        <v>1.8</v>
      </c>
      <c r="I143" s="2">
        <v>1.5</v>
      </c>
      <c r="J143" s="2">
        <v>1.3</v>
      </c>
      <c r="K143" s="2">
        <v>1.4</v>
      </c>
      <c r="L143" s="2">
        <v>2.2000000000000002</v>
      </c>
      <c r="M143" s="2">
        <v>1.5</v>
      </c>
      <c r="N143" s="2">
        <v>0.7</v>
      </c>
      <c r="O143" s="2" t="s">
        <v>286</v>
      </c>
      <c r="T143" s="2">
        <v>18.7</v>
      </c>
      <c r="U143" s="2">
        <v>12.1</v>
      </c>
      <c r="V143" s="2">
        <v>7.1</v>
      </c>
      <c r="W143" s="2">
        <v>4.3</v>
      </c>
      <c r="X143" s="2">
        <v>4.5</v>
      </c>
      <c r="Y143" s="2">
        <v>8.9</v>
      </c>
      <c r="Z143" s="2">
        <v>8.1999999999999993</v>
      </c>
      <c r="AA143" s="2">
        <v>5.3</v>
      </c>
    </row>
    <row r="144" spans="1:27" s="2" customFormat="1" x14ac:dyDescent="0.25">
      <c r="A144" s="5" t="s">
        <v>287</v>
      </c>
      <c r="B144" s="2" t="s">
        <v>288</v>
      </c>
      <c r="C144" s="2">
        <v>0</v>
      </c>
      <c r="F144" s="2">
        <v>0.1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0.1</v>
      </c>
      <c r="O144" s="2" t="s">
        <v>288</v>
      </c>
      <c r="P144" s="2">
        <v>0</v>
      </c>
      <c r="S144" s="2">
        <v>0.5</v>
      </c>
      <c r="T144" s="2">
        <v>0.1</v>
      </c>
      <c r="U144" s="2">
        <v>0.1</v>
      </c>
      <c r="V144" s="2">
        <v>0</v>
      </c>
      <c r="W144" s="2">
        <v>0</v>
      </c>
      <c r="X144" s="2">
        <v>0</v>
      </c>
      <c r="Y144" s="2">
        <v>0.2</v>
      </c>
      <c r="Z144" s="2">
        <v>0.1</v>
      </c>
      <c r="AA144" s="2">
        <v>0.2</v>
      </c>
    </row>
    <row r="145" spans="1:27" x14ac:dyDescent="0.25">
      <c r="A145" s="4" t="s">
        <v>289</v>
      </c>
      <c r="B145" t="s">
        <v>290</v>
      </c>
      <c r="G145">
        <v>2.4</v>
      </c>
      <c r="H145">
        <v>2.2999999999999998</v>
      </c>
      <c r="I145">
        <v>1.5</v>
      </c>
      <c r="J145">
        <v>0.6</v>
      </c>
      <c r="K145">
        <v>1.2</v>
      </c>
      <c r="L145">
        <v>1.7</v>
      </c>
      <c r="M145">
        <v>1.6</v>
      </c>
      <c r="N145">
        <v>1</v>
      </c>
      <c r="O145" t="s">
        <v>290</v>
      </c>
      <c r="T145">
        <v>15.2</v>
      </c>
      <c r="U145">
        <v>14</v>
      </c>
      <c r="V145">
        <v>7.7</v>
      </c>
      <c r="W145">
        <v>4.9000000000000004</v>
      </c>
      <c r="X145">
        <v>6.1</v>
      </c>
      <c r="Y145">
        <v>9.5</v>
      </c>
      <c r="Z145">
        <v>9.5</v>
      </c>
      <c r="AA145">
        <v>8.6999999999999993</v>
      </c>
    </row>
    <row r="146" spans="1:27" x14ac:dyDescent="0.25">
      <c r="A146" s="4" t="s">
        <v>291</v>
      </c>
      <c r="B146" t="s">
        <v>292</v>
      </c>
      <c r="O146" t="s">
        <v>292</v>
      </c>
    </row>
    <row r="147" spans="1:27" x14ac:dyDescent="0.25">
      <c r="A147" s="4" t="s">
        <v>293</v>
      </c>
      <c r="B147" t="s">
        <v>294</v>
      </c>
      <c r="O147" t="s">
        <v>294</v>
      </c>
    </row>
    <row r="148" spans="1:27" x14ac:dyDescent="0.25">
      <c r="A148" s="4" t="s">
        <v>295</v>
      </c>
      <c r="B148" t="s">
        <v>296</v>
      </c>
      <c r="C148">
        <v>5.8</v>
      </c>
      <c r="I148">
        <v>3</v>
      </c>
      <c r="O148" t="s">
        <v>296</v>
      </c>
      <c r="P148">
        <v>58.9</v>
      </c>
      <c r="V148">
        <v>47</v>
      </c>
    </row>
    <row r="149" spans="1:27" x14ac:dyDescent="0.25">
      <c r="A149" s="4" t="s">
        <v>297</v>
      </c>
      <c r="B149" t="s">
        <v>298</v>
      </c>
      <c r="O149" t="s">
        <v>298</v>
      </c>
    </row>
    <row r="150" spans="1:27" x14ac:dyDescent="0.25">
      <c r="A150" s="4" t="s">
        <v>299</v>
      </c>
      <c r="B150" t="s">
        <v>300</v>
      </c>
      <c r="C150">
        <v>35.1</v>
      </c>
      <c r="D150">
        <v>26.9</v>
      </c>
      <c r="E150">
        <v>16.100000000000001</v>
      </c>
      <c r="F150">
        <v>7.4</v>
      </c>
      <c r="G150">
        <v>8.4</v>
      </c>
      <c r="H150">
        <v>13.6</v>
      </c>
      <c r="I150">
        <v>2.4</v>
      </c>
      <c r="J150">
        <v>1.1000000000000001</v>
      </c>
      <c r="K150">
        <v>1.2</v>
      </c>
      <c r="L150">
        <v>1</v>
      </c>
      <c r="M150">
        <v>0.5</v>
      </c>
      <c r="N150">
        <v>0.3</v>
      </c>
      <c r="O150" t="s">
        <v>300</v>
      </c>
      <c r="P150">
        <v>90.1</v>
      </c>
      <c r="Q150">
        <v>85</v>
      </c>
      <c r="R150">
        <v>75.5</v>
      </c>
      <c r="S150">
        <v>67.8</v>
      </c>
      <c r="T150">
        <v>68.5</v>
      </c>
      <c r="U150">
        <v>73.900000000000006</v>
      </c>
      <c r="V150">
        <v>39.9</v>
      </c>
      <c r="W150">
        <v>31</v>
      </c>
      <c r="X150">
        <v>32.4</v>
      </c>
      <c r="Y150">
        <v>31</v>
      </c>
      <c r="Z150">
        <v>28.3</v>
      </c>
      <c r="AA150">
        <v>25</v>
      </c>
    </row>
    <row r="151" spans="1:27" x14ac:dyDescent="0.25">
      <c r="A151" s="4" t="s">
        <v>301</v>
      </c>
      <c r="B151" t="s">
        <v>302</v>
      </c>
      <c r="D151">
        <v>68.400000000000006</v>
      </c>
      <c r="H151">
        <v>71.7</v>
      </c>
      <c r="M151">
        <v>78.2</v>
      </c>
      <c r="O151" t="s">
        <v>302</v>
      </c>
      <c r="Q151">
        <v>94.3</v>
      </c>
      <c r="U151">
        <v>97</v>
      </c>
      <c r="Z151">
        <v>97.5</v>
      </c>
    </row>
    <row r="152" spans="1:27" x14ac:dyDescent="0.25">
      <c r="A152" s="4" t="s">
        <v>303</v>
      </c>
      <c r="B152" t="s">
        <v>304</v>
      </c>
      <c r="E152">
        <v>6.5</v>
      </c>
      <c r="L152">
        <v>3.5</v>
      </c>
      <c r="O152" t="s">
        <v>304</v>
      </c>
      <c r="R152">
        <v>62.7</v>
      </c>
      <c r="Y152">
        <v>42.7</v>
      </c>
    </row>
    <row r="153" spans="1:27" x14ac:dyDescent="0.25">
      <c r="A153" s="4" t="s">
        <v>305</v>
      </c>
      <c r="B153" t="s">
        <v>306</v>
      </c>
      <c r="C153">
        <v>3.7</v>
      </c>
      <c r="D153">
        <v>3.4</v>
      </c>
      <c r="E153">
        <v>3.4</v>
      </c>
      <c r="F153">
        <v>4.4000000000000004</v>
      </c>
      <c r="G153">
        <v>3.5</v>
      </c>
      <c r="H153">
        <v>3.2</v>
      </c>
      <c r="I153">
        <v>3</v>
      </c>
      <c r="J153">
        <v>2.9</v>
      </c>
      <c r="K153">
        <v>2.8</v>
      </c>
      <c r="L153">
        <v>2.5</v>
      </c>
      <c r="M153">
        <v>2.1</v>
      </c>
      <c r="N153">
        <v>2.2999999999999998</v>
      </c>
      <c r="O153" t="s">
        <v>306</v>
      </c>
      <c r="P153">
        <v>54.2</v>
      </c>
      <c r="Q153">
        <v>53</v>
      </c>
      <c r="R153">
        <v>52.9</v>
      </c>
      <c r="S153">
        <v>54</v>
      </c>
      <c r="T153">
        <v>51.7</v>
      </c>
      <c r="U153">
        <v>49.6</v>
      </c>
      <c r="V153">
        <v>48.8</v>
      </c>
      <c r="W153">
        <v>47.4</v>
      </c>
      <c r="X153">
        <v>46.7</v>
      </c>
      <c r="Y153">
        <v>45.1</v>
      </c>
      <c r="Z153">
        <v>43.1</v>
      </c>
      <c r="AA153">
        <v>42.1</v>
      </c>
    </row>
    <row r="154" spans="1:27" x14ac:dyDescent="0.25">
      <c r="A154" s="4" t="s">
        <v>307</v>
      </c>
      <c r="B154" t="s">
        <v>308</v>
      </c>
      <c r="C154">
        <v>9</v>
      </c>
      <c r="E154">
        <v>6.6</v>
      </c>
      <c r="G154">
        <v>6</v>
      </c>
      <c r="H154">
        <v>6.6</v>
      </c>
      <c r="I154">
        <v>4.2</v>
      </c>
      <c r="K154">
        <v>5.4</v>
      </c>
      <c r="M154">
        <v>4.5</v>
      </c>
      <c r="O154" t="s">
        <v>308</v>
      </c>
      <c r="P154">
        <v>43.8</v>
      </c>
      <c r="R154">
        <v>40.6</v>
      </c>
      <c r="T154">
        <v>37.4</v>
      </c>
      <c r="U154">
        <v>36.700000000000003</v>
      </c>
      <c r="V154">
        <v>33.1</v>
      </c>
      <c r="X154">
        <v>33.4</v>
      </c>
      <c r="Z154">
        <v>33.299999999999997</v>
      </c>
    </row>
    <row r="155" spans="1:27" x14ac:dyDescent="0.25">
      <c r="A155" s="4" t="s">
        <v>309</v>
      </c>
      <c r="B155" t="s">
        <v>310</v>
      </c>
      <c r="O155" t="s">
        <v>310</v>
      </c>
    </row>
    <row r="156" spans="1:27" x14ac:dyDescent="0.25">
      <c r="A156" s="4" t="s">
        <v>311</v>
      </c>
      <c r="B156" t="s">
        <v>312</v>
      </c>
      <c r="O156" t="s">
        <v>312</v>
      </c>
    </row>
    <row r="157" spans="1:27" x14ac:dyDescent="0.25">
      <c r="A157" s="4" t="s">
        <v>313</v>
      </c>
      <c r="B157" t="s">
        <v>314</v>
      </c>
      <c r="L157">
        <v>9.8000000000000007</v>
      </c>
      <c r="M157">
        <v>10.4</v>
      </c>
      <c r="N157">
        <v>9.1</v>
      </c>
      <c r="O157" t="s">
        <v>314</v>
      </c>
      <c r="Y157">
        <v>35.700000000000003</v>
      </c>
      <c r="Z157">
        <v>34.1</v>
      </c>
      <c r="AA157">
        <v>32.200000000000003</v>
      </c>
    </row>
    <row r="158" spans="1:27" x14ac:dyDescent="0.25">
      <c r="A158" s="4" t="s">
        <v>315</v>
      </c>
      <c r="B158" t="s">
        <v>316</v>
      </c>
      <c r="D158">
        <v>58.8</v>
      </c>
      <c r="I158">
        <v>51.9</v>
      </c>
      <c r="L158">
        <v>50.3</v>
      </c>
      <c r="O158" t="s">
        <v>316</v>
      </c>
      <c r="Q158">
        <v>95.1</v>
      </c>
      <c r="V158">
        <v>92.4</v>
      </c>
      <c r="Y158">
        <v>95</v>
      </c>
    </row>
    <row r="159" spans="1:27" x14ac:dyDescent="0.25">
      <c r="A159" s="4" t="s">
        <v>317</v>
      </c>
      <c r="B159" t="s">
        <v>318</v>
      </c>
      <c r="I159">
        <v>0.4</v>
      </c>
      <c r="J159">
        <v>0.4</v>
      </c>
      <c r="K159">
        <v>0.1</v>
      </c>
      <c r="L159">
        <v>0.4</v>
      </c>
      <c r="M159">
        <v>0.2</v>
      </c>
      <c r="N159">
        <v>0.2</v>
      </c>
      <c r="O159" t="s">
        <v>318</v>
      </c>
      <c r="V159">
        <v>0.8</v>
      </c>
      <c r="W159">
        <v>1</v>
      </c>
      <c r="X159">
        <v>0.5</v>
      </c>
      <c r="Y159">
        <v>0.8</v>
      </c>
      <c r="Z159">
        <v>0.5</v>
      </c>
      <c r="AA159">
        <v>0.5</v>
      </c>
    </row>
    <row r="160" spans="1:27" x14ac:dyDescent="0.25">
      <c r="A160" s="4" t="s">
        <v>319</v>
      </c>
      <c r="B160" t="s">
        <v>320</v>
      </c>
      <c r="O160" t="s">
        <v>320</v>
      </c>
    </row>
    <row r="161" spans="1:27" x14ac:dyDescent="0.25">
      <c r="A161" s="4" t="s">
        <v>321</v>
      </c>
      <c r="B161" t="s">
        <v>322</v>
      </c>
      <c r="O161" t="s">
        <v>322</v>
      </c>
    </row>
    <row r="162" spans="1:27" x14ac:dyDescent="0.25">
      <c r="A162" s="4" t="s">
        <v>323</v>
      </c>
      <c r="B162" t="s">
        <v>324</v>
      </c>
      <c r="O162" t="s">
        <v>324</v>
      </c>
    </row>
    <row r="163" spans="1:27" x14ac:dyDescent="0.25">
      <c r="A163" s="4" t="s">
        <v>325</v>
      </c>
      <c r="B163" t="s">
        <v>326</v>
      </c>
      <c r="E163">
        <v>9.3000000000000007</v>
      </c>
      <c r="J163">
        <v>1.2</v>
      </c>
      <c r="M163">
        <v>0.7</v>
      </c>
      <c r="N163">
        <v>0.5</v>
      </c>
      <c r="O163" t="s">
        <v>326</v>
      </c>
      <c r="R163">
        <v>67.2</v>
      </c>
      <c r="W163">
        <v>40.200000000000003</v>
      </c>
      <c r="Z163">
        <v>37.4</v>
      </c>
      <c r="AA163">
        <v>31.9</v>
      </c>
    </row>
    <row r="164" spans="1:27" x14ac:dyDescent="0.25">
      <c r="A164" s="4" t="s">
        <v>327</v>
      </c>
      <c r="B164" t="s">
        <v>328</v>
      </c>
      <c r="O164" t="s">
        <v>328</v>
      </c>
    </row>
    <row r="165" spans="1:27" x14ac:dyDescent="0.25">
      <c r="A165" s="4" t="s">
        <v>329</v>
      </c>
      <c r="B165" t="s">
        <v>330</v>
      </c>
      <c r="E165">
        <v>79.900000000000006</v>
      </c>
      <c r="K165">
        <v>69.7</v>
      </c>
      <c r="O165" t="s">
        <v>330</v>
      </c>
      <c r="R165">
        <v>96.8</v>
      </c>
      <c r="X165">
        <v>96.3</v>
      </c>
    </row>
    <row r="166" spans="1:27" x14ac:dyDescent="0.25">
      <c r="A166" s="4" t="s">
        <v>331</v>
      </c>
      <c r="B166" t="s">
        <v>332</v>
      </c>
      <c r="C166">
        <v>19.600000000000001</v>
      </c>
      <c r="G166">
        <v>14.4</v>
      </c>
      <c r="K166">
        <v>10.8</v>
      </c>
      <c r="O166" t="s">
        <v>332</v>
      </c>
      <c r="P166">
        <v>74.599999999999994</v>
      </c>
      <c r="T166">
        <v>75</v>
      </c>
      <c r="X166">
        <v>64.7</v>
      </c>
    </row>
    <row r="167" spans="1:27" x14ac:dyDescent="0.25">
      <c r="A167" s="4" t="s">
        <v>333</v>
      </c>
      <c r="B167" t="s">
        <v>334</v>
      </c>
      <c r="I167">
        <v>0.4</v>
      </c>
      <c r="O167" t="s">
        <v>334</v>
      </c>
      <c r="V167">
        <v>21.1</v>
      </c>
    </row>
    <row r="168" spans="1:27" x14ac:dyDescent="0.25">
      <c r="A168" s="4" t="s">
        <v>335</v>
      </c>
      <c r="B168" t="s">
        <v>336</v>
      </c>
      <c r="G168">
        <v>73.900000000000006</v>
      </c>
      <c r="M168">
        <v>72.3</v>
      </c>
      <c r="O168" t="s">
        <v>336</v>
      </c>
      <c r="T168">
        <v>97.1</v>
      </c>
      <c r="Z168">
        <v>96.2</v>
      </c>
    </row>
    <row r="169" spans="1:27" x14ac:dyDescent="0.25">
      <c r="A169" s="4" t="s">
        <v>337</v>
      </c>
      <c r="B169" t="s">
        <v>338</v>
      </c>
      <c r="G169">
        <v>0.4</v>
      </c>
      <c r="J169">
        <v>0.5</v>
      </c>
      <c r="K169">
        <v>0.6</v>
      </c>
      <c r="N169">
        <v>0.1</v>
      </c>
      <c r="O169" t="s">
        <v>338</v>
      </c>
      <c r="T169">
        <v>12.1</v>
      </c>
      <c r="W169">
        <v>14.3</v>
      </c>
      <c r="X169">
        <v>16.7</v>
      </c>
      <c r="AA169">
        <v>8.6</v>
      </c>
    </row>
    <row r="170" spans="1:27" x14ac:dyDescent="0.25">
      <c r="A170" s="4" t="s">
        <v>339</v>
      </c>
      <c r="B170" t="s">
        <v>340</v>
      </c>
      <c r="O170" t="s">
        <v>340</v>
      </c>
    </row>
    <row r="171" spans="1:27" x14ac:dyDescent="0.25">
      <c r="A171" s="4" t="s">
        <v>341</v>
      </c>
      <c r="B171" t="s">
        <v>342</v>
      </c>
      <c r="F171">
        <v>32.6</v>
      </c>
      <c r="L171">
        <v>23.5</v>
      </c>
      <c r="O171" t="s">
        <v>342</v>
      </c>
      <c r="S171">
        <v>73.8</v>
      </c>
      <c r="Y171">
        <v>68</v>
      </c>
    </row>
    <row r="172" spans="1:27" x14ac:dyDescent="0.25">
      <c r="A172" s="4" t="s">
        <v>343</v>
      </c>
      <c r="B172" t="s">
        <v>344</v>
      </c>
      <c r="O172" t="s">
        <v>344</v>
      </c>
    </row>
    <row r="173" spans="1:27" x14ac:dyDescent="0.25">
      <c r="A173" s="4" t="s">
        <v>345</v>
      </c>
      <c r="B173" t="s">
        <v>346</v>
      </c>
      <c r="H173">
        <v>75.3</v>
      </c>
      <c r="J173">
        <v>72.400000000000006</v>
      </c>
      <c r="N173">
        <v>50.6</v>
      </c>
      <c r="O173" t="s">
        <v>346</v>
      </c>
      <c r="U173">
        <v>97.1</v>
      </c>
      <c r="W173">
        <v>96.8</v>
      </c>
      <c r="AA173">
        <v>95.8</v>
      </c>
    </row>
    <row r="174" spans="1:27" x14ac:dyDescent="0.25">
      <c r="A174" s="4" t="s">
        <v>347</v>
      </c>
      <c r="B174" t="s">
        <v>348</v>
      </c>
      <c r="F174">
        <v>56.3</v>
      </c>
      <c r="L174">
        <v>56.4</v>
      </c>
      <c r="O174" t="s">
        <v>348</v>
      </c>
      <c r="S174">
        <v>94.9</v>
      </c>
      <c r="Y174">
        <v>92.9</v>
      </c>
    </row>
    <row r="175" spans="1:27" x14ac:dyDescent="0.25">
      <c r="A175" s="4" t="s">
        <v>349</v>
      </c>
      <c r="B175" t="s">
        <v>350</v>
      </c>
      <c r="D175">
        <v>16.899999999999999</v>
      </c>
      <c r="H175">
        <v>8.5</v>
      </c>
      <c r="L175">
        <v>7.4</v>
      </c>
      <c r="O175" t="s">
        <v>350</v>
      </c>
      <c r="Q175">
        <v>63.3</v>
      </c>
      <c r="U175">
        <v>54.4</v>
      </c>
      <c r="Y175">
        <v>50.2</v>
      </c>
    </row>
    <row r="176" spans="1:27" s="2" customFormat="1" x14ac:dyDescent="0.25">
      <c r="A176" s="5" t="s">
        <v>351</v>
      </c>
      <c r="B176" s="2" t="s">
        <v>352</v>
      </c>
      <c r="G176" s="2">
        <v>0.2</v>
      </c>
      <c r="H176" s="2">
        <v>0.1</v>
      </c>
      <c r="I176" s="2">
        <v>0</v>
      </c>
      <c r="J176" s="2">
        <v>0</v>
      </c>
      <c r="K176" s="2">
        <v>0.1</v>
      </c>
      <c r="L176" s="2">
        <v>0.1</v>
      </c>
      <c r="M176" s="2">
        <v>0</v>
      </c>
      <c r="N176" s="2">
        <v>0.1</v>
      </c>
      <c r="O176" s="2" t="s">
        <v>352</v>
      </c>
      <c r="T176" s="2">
        <v>0.8</v>
      </c>
      <c r="U176" s="2">
        <v>0.4</v>
      </c>
      <c r="V176" s="2">
        <v>0.2</v>
      </c>
      <c r="W176" s="2">
        <v>0.3</v>
      </c>
      <c r="X176" s="2">
        <v>0.5</v>
      </c>
      <c r="Y176" s="2">
        <v>0.3</v>
      </c>
      <c r="Z176" s="2">
        <v>0.2</v>
      </c>
      <c r="AA176" s="2">
        <v>0.3</v>
      </c>
    </row>
    <row r="177" spans="1:27" s="2" customFormat="1" x14ac:dyDescent="0.25">
      <c r="A177" s="5" t="s">
        <v>353</v>
      </c>
      <c r="B177" s="2" t="s">
        <v>354</v>
      </c>
      <c r="C177" s="2">
        <v>0.2</v>
      </c>
      <c r="F177" s="2">
        <v>0.2</v>
      </c>
      <c r="G177" s="2">
        <v>0.3</v>
      </c>
      <c r="H177" s="2">
        <v>0.2</v>
      </c>
      <c r="I177" s="2">
        <v>0.1</v>
      </c>
      <c r="J177" s="2">
        <v>0.1</v>
      </c>
      <c r="K177" s="2">
        <v>0.2</v>
      </c>
      <c r="L177" s="2">
        <v>0.1</v>
      </c>
      <c r="M177" s="2">
        <v>0.2</v>
      </c>
      <c r="N177" s="2">
        <v>0.1</v>
      </c>
      <c r="O177" s="2" t="s">
        <v>354</v>
      </c>
      <c r="P177" s="2">
        <v>0.5</v>
      </c>
      <c r="S177" s="2">
        <v>0.3</v>
      </c>
      <c r="T177" s="2">
        <v>0.5</v>
      </c>
      <c r="U177" s="2">
        <v>0.4</v>
      </c>
      <c r="V177" s="2">
        <v>0.5</v>
      </c>
      <c r="W177" s="2">
        <v>0.4</v>
      </c>
      <c r="X177" s="2">
        <v>0.4</v>
      </c>
      <c r="Y177" s="2">
        <v>0.2</v>
      </c>
      <c r="Z177" s="2">
        <v>0.3</v>
      </c>
      <c r="AA177" s="2">
        <v>0.2</v>
      </c>
    </row>
    <row r="178" spans="1:27" x14ac:dyDescent="0.25">
      <c r="A178" s="4" t="s">
        <v>355</v>
      </c>
      <c r="B178" t="s">
        <v>356</v>
      </c>
      <c r="F178">
        <v>49.9</v>
      </c>
      <c r="M178">
        <v>15</v>
      </c>
      <c r="O178" t="s">
        <v>356</v>
      </c>
      <c r="S178">
        <v>90.9</v>
      </c>
      <c r="Z178">
        <v>83</v>
      </c>
    </row>
    <row r="179" spans="1:27" x14ac:dyDescent="0.25">
      <c r="A179" s="4" t="s">
        <v>357</v>
      </c>
      <c r="B179" t="s">
        <v>358</v>
      </c>
      <c r="O179" t="s">
        <v>358</v>
      </c>
    </row>
    <row r="180" spans="1:27" s="2" customFormat="1" x14ac:dyDescent="0.25">
      <c r="A180" s="5" t="s">
        <v>359</v>
      </c>
      <c r="B180" s="2" t="s">
        <v>360</v>
      </c>
      <c r="O180" s="2" t="s">
        <v>360</v>
      </c>
    </row>
    <row r="181" spans="1:27" x14ac:dyDescent="0.25">
      <c r="A181" s="4" t="s">
        <v>361</v>
      </c>
      <c r="B181" t="s">
        <v>362</v>
      </c>
      <c r="O181" t="s">
        <v>362</v>
      </c>
    </row>
    <row r="182" spans="1:27" x14ac:dyDescent="0.25">
      <c r="A182" s="4" t="s">
        <v>363</v>
      </c>
      <c r="B182" t="s">
        <v>364</v>
      </c>
      <c r="O182" t="s">
        <v>364</v>
      </c>
    </row>
    <row r="183" spans="1:27" x14ac:dyDescent="0.25">
      <c r="A183" s="4" t="s">
        <v>365</v>
      </c>
      <c r="B183" t="s">
        <v>366</v>
      </c>
      <c r="O183" t="s">
        <v>366</v>
      </c>
    </row>
    <row r="184" spans="1:27" x14ac:dyDescent="0.25">
      <c r="A184" s="4" t="s">
        <v>367</v>
      </c>
      <c r="B184" t="s">
        <v>368</v>
      </c>
      <c r="D184">
        <v>28.9</v>
      </c>
      <c r="G184">
        <v>18.2</v>
      </c>
      <c r="H184">
        <v>16.600000000000001</v>
      </c>
      <c r="J184">
        <v>13.3</v>
      </c>
      <c r="M184">
        <v>8.3000000000000007</v>
      </c>
      <c r="N184">
        <v>8</v>
      </c>
      <c r="O184" t="s">
        <v>368</v>
      </c>
      <c r="Q184">
        <v>93.2</v>
      </c>
      <c r="T184">
        <v>87.6</v>
      </c>
      <c r="U184">
        <v>87.9</v>
      </c>
      <c r="W184">
        <v>86.2</v>
      </c>
      <c r="Z184">
        <v>85.1</v>
      </c>
      <c r="AA184">
        <v>83.6</v>
      </c>
    </row>
    <row r="185" spans="1:27" x14ac:dyDescent="0.25">
      <c r="A185" s="4" t="s">
        <v>369</v>
      </c>
      <c r="B185" t="s">
        <v>370</v>
      </c>
      <c r="C185">
        <v>12.4</v>
      </c>
      <c r="D185">
        <v>15.5</v>
      </c>
      <c r="E185">
        <v>11.2</v>
      </c>
      <c r="F185">
        <v>11.1</v>
      </c>
      <c r="G185">
        <v>10.1</v>
      </c>
      <c r="H185">
        <v>9.9</v>
      </c>
      <c r="I185">
        <v>10.5</v>
      </c>
      <c r="J185">
        <v>7.8</v>
      </c>
      <c r="K185">
        <v>5.2</v>
      </c>
      <c r="L185">
        <v>3.2</v>
      </c>
      <c r="M185">
        <v>4.5</v>
      </c>
      <c r="N185">
        <v>3</v>
      </c>
      <c r="O185" t="s">
        <v>370</v>
      </c>
      <c r="P185">
        <v>35.4</v>
      </c>
      <c r="Q185">
        <v>40.299999999999997</v>
      </c>
      <c r="R185">
        <v>37.5</v>
      </c>
      <c r="S185">
        <v>36</v>
      </c>
      <c r="T185">
        <v>34.799999999999997</v>
      </c>
      <c r="U185">
        <v>34.700000000000003</v>
      </c>
      <c r="V185">
        <v>34</v>
      </c>
      <c r="W185">
        <v>30.6</v>
      </c>
      <c r="X185">
        <v>23.3</v>
      </c>
      <c r="Y185">
        <v>23</v>
      </c>
      <c r="Z185">
        <v>21.8</v>
      </c>
      <c r="AA185">
        <v>18.5</v>
      </c>
    </row>
    <row r="186" spans="1:27" x14ac:dyDescent="0.25">
      <c r="A186" s="4" t="s">
        <v>371</v>
      </c>
      <c r="B186" t="s">
        <v>372</v>
      </c>
      <c r="C186">
        <v>16.399999999999999</v>
      </c>
      <c r="D186">
        <v>17.399999999999999</v>
      </c>
      <c r="E186">
        <v>15.2</v>
      </c>
      <c r="F186">
        <v>12</v>
      </c>
      <c r="G186">
        <v>13.6</v>
      </c>
      <c r="H186">
        <v>15.5</v>
      </c>
      <c r="I186">
        <v>13.5</v>
      </c>
      <c r="J186">
        <v>11.1</v>
      </c>
      <c r="K186">
        <v>9.1</v>
      </c>
      <c r="L186">
        <v>7.1</v>
      </c>
      <c r="M186">
        <v>5.5</v>
      </c>
      <c r="N186">
        <v>5.2</v>
      </c>
      <c r="O186" t="s">
        <v>372</v>
      </c>
      <c r="P186">
        <v>52.6</v>
      </c>
      <c r="Q186">
        <v>55.3</v>
      </c>
      <c r="R186">
        <v>50.7</v>
      </c>
      <c r="S186">
        <v>50.1</v>
      </c>
      <c r="T186">
        <v>50</v>
      </c>
      <c r="U186">
        <v>52.5</v>
      </c>
      <c r="V186">
        <v>46.6</v>
      </c>
      <c r="W186">
        <v>41.3</v>
      </c>
      <c r="X186">
        <v>37.6</v>
      </c>
      <c r="Y186">
        <v>35.6</v>
      </c>
      <c r="Z186">
        <v>31.5</v>
      </c>
      <c r="AA186">
        <v>29.5</v>
      </c>
    </row>
    <row r="187" spans="1:27" x14ac:dyDescent="0.25">
      <c r="A187" s="4" t="s">
        <v>373</v>
      </c>
      <c r="B187" t="s">
        <v>374</v>
      </c>
      <c r="C187">
        <v>13.7</v>
      </c>
      <c r="F187">
        <v>13</v>
      </c>
      <c r="I187">
        <v>14.4</v>
      </c>
      <c r="L187">
        <v>10.7</v>
      </c>
      <c r="O187" t="s">
        <v>374</v>
      </c>
      <c r="P187">
        <v>64</v>
      </c>
      <c r="S187">
        <v>62.9</v>
      </c>
      <c r="V187">
        <v>63.4</v>
      </c>
      <c r="Y187">
        <v>61.1</v>
      </c>
    </row>
    <row r="188" spans="1:27" x14ac:dyDescent="0.25">
      <c r="A188" s="4" t="s">
        <v>375</v>
      </c>
      <c r="B188" t="s">
        <v>376</v>
      </c>
      <c r="O188" t="s">
        <v>376</v>
      </c>
    </row>
    <row r="189" spans="1:27" x14ac:dyDescent="0.25">
      <c r="A189" s="4" t="s">
        <v>377</v>
      </c>
      <c r="B189" t="s">
        <v>378</v>
      </c>
      <c r="L189">
        <v>38</v>
      </c>
      <c r="O189" t="s">
        <v>378</v>
      </c>
      <c r="Y189">
        <v>86.9</v>
      </c>
    </row>
    <row r="190" spans="1:27" s="2" customFormat="1" x14ac:dyDescent="0.25">
      <c r="A190" s="5" t="s">
        <v>379</v>
      </c>
      <c r="B190" s="2" t="s">
        <v>380</v>
      </c>
      <c r="G190" s="2">
        <v>2.1</v>
      </c>
      <c r="H190" s="2">
        <v>0.9</v>
      </c>
      <c r="I190" s="2">
        <v>0.6</v>
      </c>
      <c r="J190" s="2">
        <v>0.4</v>
      </c>
      <c r="K190" s="2">
        <v>0.2</v>
      </c>
      <c r="L190" s="2">
        <v>0.3</v>
      </c>
      <c r="M190" s="2">
        <v>0.3</v>
      </c>
      <c r="N190" s="2">
        <v>0.3</v>
      </c>
      <c r="O190" s="2" t="s">
        <v>380</v>
      </c>
      <c r="T190" s="2">
        <v>12.7</v>
      </c>
      <c r="U190" s="2">
        <v>9</v>
      </c>
      <c r="V190" s="2">
        <v>6.5</v>
      </c>
      <c r="W190" s="2">
        <v>3.9</v>
      </c>
      <c r="X190" s="2">
        <v>3</v>
      </c>
      <c r="Y190" s="2">
        <v>3.1</v>
      </c>
      <c r="Z190" s="2">
        <v>2.9</v>
      </c>
      <c r="AA190" s="2">
        <v>2.8</v>
      </c>
    </row>
    <row r="191" spans="1:27" x14ac:dyDescent="0.25">
      <c r="A191" s="4" t="s">
        <v>381</v>
      </c>
      <c r="B191" t="s">
        <v>382</v>
      </c>
      <c r="O191" t="s">
        <v>382</v>
      </c>
    </row>
    <row r="192" spans="1:27" x14ac:dyDescent="0.25">
      <c r="A192" s="4" t="s">
        <v>383</v>
      </c>
      <c r="B192" t="s">
        <v>384</v>
      </c>
      <c r="O192" t="s">
        <v>384</v>
      </c>
    </row>
    <row r="193" spans="1:27" x14ac:dyDescent="0.25">
      <c r="A193" s="4" t="s">
        <v>385</v>
      </c>
      <c r="B193" t="s">
        <v>386</v>
      </c>
      <c r="O193" t="s">
        <v>386</v>
      </c>
    </row>
    <row r="194" spans="1:27" s="2" customFormat="1" x14ac:dyDescent="0.25">
      <c r="A194" s="5" t="s">
        <v>387</v>
      </c>
      <c r="B194" s="2" t="s">
        <v>388</v>
      </c>
      <c r="F194" s="2">
        <v>0.9</v>
      </c>
      <c r="G194" s="2">
        <v>0.5</v>
      </c>
      <c r="H194" s="2">
        <v>0.5</v>
      </c>
      <c r="I194" s="2">
        <v>0.1</v>
      </c>
      <c r="J194" s="2">
        <v>0.3</v>
      </c>
      <c r="K194" s="2">
        <v>0.1</v>
      </c>
      <c r="L194" s="2">
        <v>0.2</v>
      </c>
      <c r="M194" s="2">
        <v>0.1</v>
      </c>
      <c r="N194" s="2">
        <v>0.5</v>
      </c>
      <c r="O194" s="2" t="s">
        <v>388</v>
      </c>
      <c r="S194" s="2">
        <v>3.1</v>
      </c>
      <c r="T194" s="2">
        <v>2.7</v>
      </c>
      <c r="U194" s="2">
        <v>2.7</v>
      </c>
      <c r="V194" s="2">
        <v>2</v>
      </c>
      <c r="W194" s="2">
        <v>1.6</v>
      </c>
      <c r="X194" s="2">
        <v>2.1</v>
      </c>
      <c r="Y194" s="2">
        <v>1.5</v>
      </c>
      <c r="Z194" s="2">
        <v>1.9</v>
      </c>
      <c r="AA194" s="2">
        <v>2.6</v>
      </c>
    </row>
    <row r="195" spans="1:27" x14ac:dyDescent="0.25">
      <c r="A195" s="4" t="s">
        <v>389</v>
      </c>
      <c r="B195" t="s">
        <v>390</v>
      </c>
      <c r="D195">
        <v>8.6</v>
      </c>
      <c r="E195">
        <v>12.8</v>
      </c>
      <c r="F195">
        <v>7.8</v>
      </c>
      <c r="G195">
        <v>5.4</v>
      </c>
      <c r="H195">
        <v>5.8</v>
      </c>
      <c r="I195">
        <v>7.6</v>
      </c>
      <c r="J195">
        <v>7.4</v>
      </c>
      <c r="K195">
        <v>3.9</v>
      </c>
      <c r="L195">
        <v>5.4</v>
      </c>
      <c r="M195">
        <v>5.2</v>
      </c>
      <c r="N195">
        <v>4.5999999999999996</v>
      </c>
      <c r="O195" t="s">
        <v>390</v>
      </c>
      <c r="Q195">
        <v>35</v>
      </c>
      <c r="R195">
        <v>45.9</v>
      </c>
      <c r="S195">
        <v>39.299999999999997</v>
      </c>
      <c r="T195">
        <v>37</v>
      </c>
      <c r="U195">
        <v>33.6</v>
      </c>
      <c r="V195">
        <v>38.4</v>
      </c>
      <c r="W195">
        <v>34.5</v>
      </c>
      <c r="X195">
        <v>31.7</v>
      </c>
      <c r="Y195">
        <v>30.7</v>
      </c>
      <c r="Z195">
        <v>28.8</v>
      </c>
      <c r="AA195">
        <v>27.1</v>
      </c>
    </row>
    <row r="196" spans="1:27" x14ac:dyDescent="0.25">
      <c r="A196" s="4" t="s">
        <v>391</v>
      </c>
      <c r="B196" t="s">
        <v>392</v>
      </c>
      <c r="G196">
        <v>0.8</v>
      </c>
      <c r="H196">
        <v>0.7</v>
      </c>
      <c r="I196">
        <v>0.3</v>
      </c>
      <c r="J196">
        <v>1.5</v>
      </c>
      <c r="L196">
        <v>0.3</v>
      </c>
      <c r="M196">
        <v>0.2</v>
      </c>
      <c r="N196">
        <v>0.2</v>
      </c>
      <c r="O196" t="s">
        <v>392</v>
      </c>
      <c r="T196">
        <v>24.5</v>
      </c>
      <c r="U196">
        <v>22.4</v>
      </c>
      <c r="V196">
        <v>21.2</v>
      </c>
      <c r="W196">
        <v>28.6</v>
      </c>
      <c r="Y196">
        <v>19.100000000000001</v>
      </c>
      <c r="Z196">
        <v>20</v>
      </c>
      <c r="AA196">
        <v>18.7</v>
      </c>
    </row>
    <row r="197" spans="1:27" x14ac:dyDescent="0.25">
      <c r="A197" s="4" t="s">
        <v>393</v>
      </c>
      <c r="B197" t="s">
        <v>394</v>
      </c>
      <c r="O197" t="s">
        <v>394</v>
      </c>
    </row>
    <row r="198" spans="1:27" x14ac:dyDescent="0.25">
      <c r="A198" s="4" t="s">
        <v>395</v>
      </c>
      <c r="B198" t="s">
        <v>396</v>
      </c>
      <c r="O198" t="s">
        <v>396</v>
      </c>
    </row>
    <row r="199" spans="1:27" x14ac:dyDescent="0.25">
      <c r="A199" s="4" t="s">
        <v>397</v>
      </c>
      <c r="B199" t="s">
        <v>398</v>
      </c>
      <c r="O199" t="s">
        <v>398</v>
      </c>
    </row>
    <row r="200" spans="1:27" x14ac:dyDescent="0.25">
      <c r="A200" s="4" t="s">
        <v>399</v>
      </c>
      <c r="B200" t="s">
        <v>400</v>
      </c>
      <c r="O200" t="s">
        <v>400</v>
      </c>
    </row>
    <row r="201" spans="1:27" x14ac:dyDescent="0.25">
      <c r="A201" s="4" t="s">
        <v>401</v>
      </c>
      <c r="B201" t="s">
        <v>402</v>
      </c>
      <c r="I201">
        <v>6.6</v>
      </c>
      <c r="J201">
        <v>4.9000000000000004</v>
      </c>
      <c r="K201">
        <v>3.7</v>
      </c>
      <c r="L201">
        <v>2.8</v>
      </c>
      <c r="M201">
        <v>3.8</v>
      </c>
      <c r="N201">
        <v>4.9000000000000004</v>
      </c>
      <c r="O201" t="s">
        <v>402</v>
      </c>
      <c r="V201">
        <v>35.200000000000003</v>
      </c>
      <c r="W201">
        <v>29.5</v>
      </c>
      <c r="X201">
        <v>22.8</v>
      </c>
      <c r="Y201">
        <v>21.7</v>
      </c>
      <c r="Z201">
        <v>23.8</v>
      </c>
      <c r="AA201">
        <v>27.5</v>
      </c>
    </row>
    <row r="202" spans="1:27" x14ac:dyDescent="0.25">
      <c r="A202" s="4" t="s">
        <v>403</v>
      </c>
      <c r="B202" t="s">
        <v>404</v>
      </c>
      <c r="C202">
        <v>3.1</v>
      </c>
      <c r="D202">
        <v>1.8</v>
      </c>
      <c r="E202">
        <v>1.1000000000000001</v>
      </c>
      <c r="F202">
        <v>1.1000000000000001</v>
      </c>
      <c r="G202">
        <v>1</v>
      </c>
      <c r="H202">
        <v>0.8</v>
      </c>
      <c r="I202">
        <v>0.5</v>
      </c>
      <c r="J202">
        <v>0.2</v>
      </c>
      <c r="K202">
        <v>0.1</v>
      </c>
      <c r="L202">
        <v>0.1</v>
      </c>
      <c r="M202">
        <v>0.1</v>
      </c>
      <c r="N202">
        <v>0</v>
      </c>
      <c r="O202" t="s">
        <v>404</v>
      </c>
      <c r="P202">
        <v>37.9</v>
      </c>
      <c r="Q202">
        <v>31.1</v>
      </c>
      <c r="R202">
        <v>26.2</v>
      </c>
      <c r="S202">
        <v>24.7</v>
      </c>
      <c r="T202">
        <v>21.8</v>
      </c>
      <c r="U202">
        <v>18.5</v>
      </c>
      <c r="V202">
        <v>15.3</v>
      </c>
      <c r="W202">
        <v>11.2</v>
      </c>
      <c r="X202">
        <v>7.3</v>
      </c>
      <c r="Y202">
        <v>7</v>
      </c>
      <c r="Z202">
        <v>5.6</v>
      </c>
      <c r="AA202">
        <v>4.7</v>
      </c>
    </row>
    <row r="203" spans="1:27" x14ac:dyDescent="0.25">
      <c r="A203" s="4" t="s">
        <v>405</v>
      </c>
      <c r="B203" t="s">
        <v>406</v>
      </c>
      <c r="C203">
        <v>78</v>
      </c>
      <c r="H203">
        <v>69.099999999999994</v>
      </c>
      <c r="M203">
        <v>63.2</v>
      </c>
      <c r="O203" t="s">
        <v>406</v>
      </c>
      <c r="P203">
        <v>95.9</v>
      </c>
      <c r="U203">
        <v>93.7</v>
      </c>
      <c r="Z203">
        <v>93.2</v>
      </c>
    </row>
    <row r="204" spans="1:27" x14ac:dyDescent="0.25">
      <c r="A204" s="4" t="s">
        <v>407</v>
      </c>
      <c r="B204" t="s">
        <v>408</v>
      </c>
      <c r="E204">
        <v>39.799999999999997</v>
      </c>
      <c r="F204">
        <v>38.9</v>
      </c>
      <c r="G204">
        <v>37.4</v>
      </c>
      <c r="H204">
        <v>34.9</v>
      </c>
      <c r="I204">
        <v>33.700000000000003</v>
      </c>
      <c r="J204">
        <v>31.8</v>
      </c>
      <c r="K204">
        <v>30.6</v>
      </c>
      <c r="L204">
        <v>29.5</v>
      </c>
      <c r="M204">
        <v>25.9</v>
      </c>
      <c r="N204">
        <v>20.9</v>
      </c>
      <c r="O204" t="s">
        <v>408</v>
      </c>
      <c r="R204">
        <v>93.1</v>
      </c>
      <c r="S204">
        <v>92.7</v>
      </c>
      <c r="T204">
        <v>92.1</v>
      </c>
      <c r="U204">
        <v>91.3</v>
      </c>
      <c r="V204">
        <v>91.1</v>
      </c>
      <c r="W204">
        <v>90.5</v>
      </c>
      <c r="X204">
        <v>90.2</v>
      </c>
      <c r="Y204">
        <v>89.9</v>
      </c>
      <c r="Z204">
        <v>88.9</v>
      </c>
      <c r="AA204">
        <v>87</v>
      </c>
    </row>
    <row r="205" spans="1:27" x14ac:dyDescent="0.25">
      <c r="A205" s="4" t="s">
        <v>409</v>
      </c>
      <c r="B205" t="s">
        <v>410</v>
      </c>
      <c r="O205" t="s">
        <v>410</v>
      </c>
    </row>
    <row r="206" spans="1:27" x14ac:dyDescent="0.25">
      <c r="A206" s="4" t="s">
        <v>411</v>
      </c>
      <c r="B206" t="s">
        <v>412</v>
      </c>
      <c r="L206">
        <v>15.7</v>
      </c>
      <c r="O206" t="s">
        <v>412</v>
      </c>
      <c r="Y206">
        <v>74.3</v>
      </c>
    </row>
    <row r="207" spans="1:27" x14ac:dyDescent="0.25">
      <c r="A207" s="4" t="s">
        <v>413</v>
      </c>
      <c r="B207" t="s">
        <v>414</v>
      </c>
      <c r="D207">
        <v>49.1</v>
      </c>
      <c r="H207">
        <v>38.299999999999997</v>
      </c>
      <c r="N207">
        <v>38.5</v>
      </c>
      <c r="O207" t="s">
        <v>414</v>
      </c>
      <c r="Q207">
        <v>92</v>
      </c>
      <c r="U207">
        <v>88.8</v>
      </c>
      <c r="AA207">
        <v>88.4</v>
      </c>
    </row>
    <row r="208" spans="1:27" x14ac:dyDescent="0.25">
      <c r="A208" s="4" t="s">
        <v>415</v>
      </c>
      <c r="B208" t="s">
        <v>416</v>
      </c>
      <c r="O208" t="s">
        <v>416</v>
      </c>
    </row>
    <row r="209" spans="1:27" x14ac:dyDescent="0.25">
      <c r="A209" s="4" t="s">
        <v>417</v>
      </c>
      <c r="B209" t="s">
        <v>418</v>
      </c>
      <c r="H209">
        <v>45.6</v>
      </c>
      <c r="O209" t="s">
        <v>418</v>
      </c>
      <c r="U209">
        <v>87.3</v>
      </c>
    </row>
    <row r="210" spans="1:27" x14ac:dyDescent="0.25">
      <c r="A210" s="4" t="s">
        <v>419</v>
      </c>
      <c r="B210" t="s">
        <v>420</v>
      </c>
      <c r="F210">
        <v>73</v>
      </c>
      <c r="N210">
        <v>54.7</v>
      </c>
      <c r="O210" t="s">
        <v>420</v>
      </c>
      <c r="S210">
        <v>96.1</v>
      </c>
      <c r="AA210">
        <v>95</v>
      </c>
    </row>
    <row r="211" spans="1:27" x14ac:dyDescent="0.25">
      <c r="A211" s="4" t="s">
        <v>421</v>
      </c>
      <c r="B211" t="s">
        <v>422</v>
      </c>
      <c r="C211">
        <v>12.4</v>
      </c>
      <c r="D211">
        <v>13.6</v>
      </c>
      <c r="E211">
        <v>14.1</v>
      </c>
      <c r="F211">
        <v>15</v>
      </c>
      <c r="G211">
        <v>11</v>
      </c>
      <c r="H211">
        <v>10.6</v>
      </c>
      <c r="I211">
        <v>7.1</v>
      </c>
      <c r="J211">
        <v>4.7</v>
      </c>
      <c r="K211">
        <v>7</v>
      </c>
      <c r="L211">
        <v>6.8</v>
      </c>
      <c r="M211">
        <v>5.7</v>
      </c>
      <c r="N211">
        <v>4.7</v>
      </c>
      <c r="O211" t="s">
        <v>422</v>
      </c>
      <c r="P211">
        <v>45.1</v>
      </c>
      <c r="Q211">
        <v>46.9</v>
      </c>
      <c r="R211">
        <v>47</v>
      </c>
      <c r="S211">
        <v>47.7</v>
      </c>
      <c r="T211">
        <v>45.6</v>
      </c>
      <c r="U211">
        <v>45.6</v>
      </c>
      <c r="V211">
        <v>42.8</v>
      </c>
      <c r="W211">
        <v>39.6</v>
      </c>
      <c r="X211">
        <v>43.8</v>
      </c>
      <c r="Y211">
        <v>43.5</v>
      </c>
      <c r="Z211">
        <v>42.1</v>
      </c>
      <c r="AA211">
        <v>42.1</v>
      </c>
    </row>
    <row r="212" spans="1:27" x14ac:dyDescent="0.25">
      <c r="A212" s="4" t="s">
        <v>423</v>
      </c>
      <c r="B212" t="s">
        <v>424</v>
      </c>
      <c r="O212" t="s">
        <v>424</v>
      </c>
    </row>
    <row r="213" spans="1:27" x14ac:dyDescent="0.25">
      <c r="A213" s="4" t="s">
        <v>425</v>
      </c>
      <c r="B213" t="s">
        <v>426</v>
      </c>
      <c r="O213" t="s">
        <v>426</v>
      </c>
    </row>
    <row r="214" spans="1:27" x14ac:dyDescent="0.25">
      <c r="A214" s="4" t="s">
        <v>427</v>
      </c>
      <c r="B214" t="s">
        <v>428</v>
      </c>
      <c r="O214" t="s">
        <v>428</v>
      </c>
    </row>
    <row r="215" spans="1:27" x14ac:dyDescent="0.25">
      <c r="A215" s="4" t="s">
        <v>429</v>
      </c>
      <c r="B215" t="s">
        <v>430</v>
      </c>
      <c r="O215" t="s">
        <v>430</v>
      </c>
    </row>
    <row r="216" spans="1:27" x14ac:dyDescent="0.25">
      <c r="A216" s="4" t="s">
        <v>431</v>
      </c>
      <c r="B216" t="s">
        <v>432</v>
      </c>
      <c r="L216">
        <v>44.7</v>
      </c>
      <c r="O216" t="s">
        <v>432</v>
      </c>
      <c r="Y216">
        <v>86.1</v>
      </c>
    </row>
    <row r="217" spans="1:27" x14ac:dyDescent="0.25">
      <c r="A217" s="4" t="s">
        <v>433</v>
      </c>
      <c r="B217" t="s">
        <v>434</v>
      </c>
      <c r="C217">
        <v>58.9</v>
      </c>
      <c r="D217">
        <v>57.5</v>
      </c>
      <c r="E217">
        <v>56.4</v>
      </c>
      <c r="F217">
        <v>56.4</v>
      </c>
      <c r="G217">
        <v>53.5</v>
      </c>
      <c r="H217">
        <v>52</v>
      </c>
      <c r="I217">
        <v>50.8</v>
      </c>
      <c r="J217">
        <v>50</v>
      </c>
      <c r="K217">
        <v>49</v>
      </c>
      <c r="L217">
        <v>48.9</v>
      </c>
      <c r="M217">
        <v>47.5</v>
      </c>
      <c r="N217">
        <v>45.3</v>
      </c>
      <c r="O217" t="s">
        <v>434</v>
      </c>
      <c r="P217">
        <v>91.1</v>
      </c>
      <c r="Q217">
        <v>91</v>
      </c>
      <c r="R217">
        <v>90.9</v>
      </c>
      <c r="S217">
        <v>91.1</v>
      </c>
      <c r="T217">
        <v>90.7</v>
      </c>
      <c r="U217">
        <v>90.2</v>
      </c>
      <c r="V217">
        <v>89.6</v>
      </c>
      <c r="W217">
        <v>89.1</v>
      </c>
      <c r="X217">
        <v>88.6</v>
      </c>
      <c r="Y217">
        <v>88.5</v>
      </c>
      <c r="Z217">
        <v>88</v>
      </c>
      <c r="AA217">
        <v>87.4</v>
      </c>
    </row>
    <row r="218" spans="1:27" x14ac:dyDescent="0.25">
      <c r="A218" s="4" t="s">
        <v>435</v>
      </c>
      <c r="B218" t="s">
        <v>436</v>
      </c>
      <c r="O218" t="s">
        <v>436</v>
      </c>
    </row>
    <row r="219" spans="1:27" x14ac:dyDescent="0.25">
      <c r="A219" s="4" t="s">
        <v>437</v>
      </c>
      <c r="B219" t="s">
        <v>438</v>
      </c>
      <c r="C219">
        <v>31.4</v>
      </c>
      <c r="M219">
        <v>34.6</v>
      </c>
      <c r="O219" t="s">
        <v>438</v>
      </c>
      <c r="P219">
        <v>90.5</v>
      </c>
      <c r="Z219">
        <v>92.8</v>
      </c>
    </row>
    <row r="220" spans="1:27" x14ac:dyDescent="0.25">
      <c r="A220" s="4" t="s">
        <v>439</v>
      </c>
      <c r="B220" t="s">
        <v>440</v>
      </c>
      <c r="O220" t="s">
        <v>440</v>
      </c>
    </row>
    <row r="221" spans="1:27" x14ac:dyDescent="0.25">
      <c r="A221" s="4" t="s">
        <v>441</v>
      </c>
      <c r="B221" t="s">
        <v>442</v>
      </c>
      <c r="G221">
        <v>0.1</v>
      </c>
      <c r="H221">
        <v>0.2</v>
      </c>
      <c r="I221">
        <v>0.2</v>
      </c>
      <c r="J221">
        <v>0.3</v>
      </c>
      <c r="K221">
        <v>0.4</v>
      </c>
      <c r="L221">
        <v>0.4</v>
      </c>
      <c r="M221">
        <v>0.5</v>
      </c>
      <c r="N221">
        <v>0.4</v>
      </c>
      <c r="O221" t="s">
        <v>442</v>
      </c>
      <c r="T221">
        <v>5.0999999999999996</v>
      </c>
      <c r="U221">
        <v>3.1</v>
      </c>
      <c r="V221">
        <v>2.1</v>
      </c>
      <c r="W221">
        <v>2</v>
      </c>
      <c r="X221">
        <v>2.2000000000000002</v>
      </c>
      <c r="Y221">
        <v>2.4</v>
      </c>
      <c r="Z221">
        <v>2.2000000000000002</v>
      </c>
      <c r="AA221">
        <v>2.2999999999999998</v>
      </c>
    </row>
    <row r="222" spans="1:27" x14ac:dyDescent="0.25">
      <c r="A222" s="4" t="s">
        <v>443</v>
      </c>
      <c r="B222" t="s">
        <v>444</v>
      </c>
      <c r="G222">
        <v>0</v>
      </c>
      <c r="H222">
        <v>0.1</v>
      </c>
      <c r="I222">
        <v>0.1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444</v>
      </c>
      <c r="T222">
        <v>0.3</v>
      </c>
      <c r="U222">
        <v>0.4</v>
      </c>
      <c r="V222">
        <v>0.3</v>
      </c>
      <c r="W222">
        <v>0.2</v>
      </c>
      <c r="X222">
        <v>0.1</v>
      </c>
      <c r="Y222">
        <v>0.2</v>
      </c>
      <c r="Z222">
        <v>0.1</v>
      </c>
      <c r="AA222">
        <v>0.2</v>
      </c>
    </row>
    <row r="223" spans="1:27" s="2" customFormat="1" x14ac:dyDescent="0.25">
      <c r="A223" s="5" t="s">
        <v>445</v>
      </c>
      <c r="B223" s="2" t="s">
        <v>446</v>
      </c>
      <c r="C223" s="2">
        <v>0</v>
      </c>
      <c r="F223" s="2">
        <v>0.3</v>
      </c>
      <c r="G223" s="2">
        <v>0.4</v>
      </c>
      <c r="H223" s="2">
        <v>1</v>
      </c>
      <c r="I223" s="2">
        <v>0.3</v>
      </c>
      <c r="J223" s="2">
        <v>0.4</v>
      </c>
      <c r="K223" s="2">
        <v>0.6</v>
      </c>
      <c r="L223" s="2">
        <v>0.4</v>
      </c>
      <c r="M223" s="2">
        <v>0.5</v>
      </c>
      <c r="N223" s="2">
        <v>0.5</v>
      </c>
      <c r="O223" s="2" t="s">
        <v>446</v>
      </c>
      <c r="P223" s="2">
        <v>0.2</v>
      </c>
      <c r="S223" s="2">
        <v>0.8</v>
      </c>
      <c r="T223" s="2">
        <v>0.9</v>
      </c>
      <c r="U223" s="2">
        <v>1.6</v>
      </c>
      <c r="V223" s="2">
        <v>0.9</v>
      </c>
      <c r="W223" s="2">
        <v>0.8</v>
      </c>
      <c r="X223" s="2">
        <v>1</v>
      </c>
      <c r="Y223" s="2">
        <v>1</v>
      </c>
      <c r="Z223" s="2">
        <v>1.2</v>
      </c>
      <c r="AA223" s="2">
        <v>1.1000000000000001</v>
      </c>
    </row>
    <row r="224" spans="1:27" x14ac:dyDescent="0.25">
      <c r="A224" s="4" t="s">
        <v>447</v>
      </c>
      <c r="B224" t="s">
        <v>448</v>
      </c>
      <c r="C224">
        <v>48.9</v>
      </c>
      <c r="L224">
        <v>43</v>
      </c>
      <c r="O224" t="s">
        <v>448</v>
      </c>
      <c r="P224">
        <v>85.4</v>
      </c>
      <c r="Y224">
        <v>82.3</v>
      </c>
    </row>
    <row r="225" spans="1:27" x14ac:dyDescent="0.25">
      <c r="A225" s="4" t="s">
        <v>449</v>
      </c>
      <c r="B225" t="s">
        <v>450</v>
      </c>
      <c r="O225" t="s">
        <v>450</v>
      </c>
    </row>
    <row r="226" spans="1:27" x14ac:dyDescent="0.25">
      <c r="A226" s="4" t="s">
        <v>451</v>
      </c>
      <c r="B226" t="s">
        <v>452</v>
      </c>
      <c r="O226" t="s">
        <v>452</v>
      </c>
    </row>
    <row r="227" spans="1:27" x14ac:dyDescent="0.25">
      <c r="A227" s="4" t="s">
        <v>453</v>
      </c>
      <c r="B227" t="s">
        <v>454</v>
      </c>
      <c r="G227">
        <v>1.7</v>
      </c>
      <c r="O227" t="s">
        <v>454</v>
      </c>
      <c r="T227">
        <v>50.4</v>
      </c>
    </row>
    <row r="228" spans="1:27" x14ac:dyDescent="0.25">
      <c r="A228" s="4" t="s">
        <v>455</v>
      </c>
      <c r="B228" t="s">
        <v>456</v>
      </c>
      <c r="O228" t="s">
        <v>456</v>
      </c>
    </row>
    <row r="229" spans="1:27" x14ac:dyDescent="0.25">
      <c r="A229" s="4" t="s">
        <v>457</v>
      </c>
      <c r="B229" t="s">
        <v>458</v>
      </c>
      <c r="F229">
        <v>62.7</v>
      </c>
      <c r="N229">
        <v>38.1</v>
      </c>
      <c r="O229" t="s">
        <v>458</v>
      </c>
      <c r="S229">
        <v>95.9</v>
      </c>
      <c r="AA229">
        <v>86.2</v>
      </c>
    </row>
    <row r="230" spans="1:27" x14ac:dyDescent="0.25">
      <c r="A230" s="4" t="s">
        <v>459</v>
      </c>
      <c r="B230" t="s">
        <v>460</v>
      </c>
      <c r="O230" t="s">
        <v>460</v>
      </c>
    </row>
    <row r="231" spans="1:27" x14ac:dyDescent="0.25">
      <c r="A231" s="4" t="s">
        <v>461</v>
      </c>
      <c r="B231" t="s">
        <v>462</v>
      </c>
      <c r="O231" t="s">
        <v>462</v>
      </c>
    </row>
    <row r="232" spans="1:27" x14ac:dyDescent="0.25">
      <c r="A232" s="4" t="s">
        <v>463</v>
      </c>
      <c r="B232" t="s">
        <v>464</v>
      </c>
      <c r="I232">
        <v>56.5</v>
      </c>
      <c r="N232">
        <v>55</v>
      </c>
      <c r="O232" t="s">
        <v>464</v>
      </c>
      <c r="V232">
        <v>91.8</v>
      </c>
      <c r="AA232">
        <v>90.6</v>
      </c>
    </row>
    <row r="233" spans="1:27" x14ac:dyDescent="0.25">
      <c r="A233" s="4" t="s">
        <v>465</v>
      </c>
      <c r="B233" t="s">
        <v>466</v>
      </c>
      <c r="C233">
        <v>2.4</v>
      </c>
      <c r="E233">
        <v>1.1000000000000001</v>
      </c>
      <c r="G233">
        <v>0.7</v>
      </c>
      <c r="I233">
        <v>0.7</v>
      </c>
      <c r="J233">
        <v>0.3</v>
      </c>
      <c r="K233">
        <v>0.1</v>
      </c>
      <c r="L233">
        <v>0.2</v>
      </c>
      <c r="M233">
        <v>0.1</v>
      </c>
      <c r="N233">
        <v>0</v>
      </c>
      <c r="O233" t="s">
        <v>466</v>
      </c>
      <c r="P233">
        <v>48.6</v>
      </c>
      <c r="R233">
        <v>39.700000000000003</v>
      </c>
      <c r="T233">
        <v>33.4</v>
      </c>
      <c r="V233">
        <v>26.8</v>
      </c>
      <c r="W233">
        <v>24.5</v>
      </c>
      <c r="X233">
        <v>22.5</v>
      </c>
      <c r="Y233">
        <v>20</v>
      </c>
      <c r="Z233">
        <v>17.5</v>
      </c>
      <c r="AA233">
        <v>13.4</v>
      </c>
    </row>
    <row r="234" spans="1:27" x14ac:dyDescent="0.25">
      <c r="A234" s="4" t="s">
        <v>467</v>
      </c>
      <c r="B234" t="s">
        <v>468</v>
      </c>
      <c r="F234">
        <v>27</v>
      </c>
      <c r="G234">
        <v>13.3</v>
      </c>
      <c r="J234">
        <v>9.1999999999999993</v>
      </c>
      <c r="L234">
        <v>4</v>
      </c>
      <c r="O234" t="s">
        <v>468</v>
      </c>
      <c r="S234">
        <v>89</v>
      </c>
      <c r="T234">
        <v>79.5</v>
      </c>
      <c r="W234">
        <v>70.7</v>
      </c>
      <c r="Y234">
        <v>59.8</v>
      </c>
    </row>
    <row r="235" spans="1:27" x14ac:dyDescent="0.25">
      <c r="A235" s="4" t="s">
        <v>469</v>
      </c>
      <c r="B235" t="s">
        <v>470</v>
      </c>
      <c r="O235" t="s">
        <v>470</v>
      </c>
    </row>
    <row r="236" spans="1:27" x14ac:dyDescent="0.25">
      <c r="A236" s="4" t="s">
        <v>471</v>
      </c>
      <c r="B236" t="s">
        <v>472</v>
      </c>
      <c r="O236" t="s">
        <v>472</v>
      </c>
    </row>
    <row r="237" spans="1:27" x14ac:dyDescent="0.25">
      <c r="A237" s="4" t="s">
        <v>473</v>
      </c>
      <c r="B237" t="s">
        <v>474</v>
      </c>
      <c r="D237">
        <v>38.5</v>
      </c>
      <c r="J237">
        <v>37.4</v>
      </c>
      <c r="O237" t="s">
        <v>474</v>
      </c>
      <c r="Q237">
        <v>91</v>
      </c>
      <c r="W237">
        <v>96</v>
      </c>
    </row>
    <row r="238" spans="1:27" x14ac:dyDescent="0.25">
      <c r="A238" s="4" t="s">
        <v>475</v>
      </c>
      <c r="B238" t="s">
        <v>476</v>
      </c>
      <c r="O238" t="s">
        <v>476</v>
      </c>
    </row>
    <row r="239" spans="1:27" x14ac:dyDescent="0.25">
      <c r="A239" s="4" t="s">
        <v>477</v>
      </c>
      <c r="B239" t="s">
        <v>478</v>
      </c>
      <c r="D239">
        <v>2.8</v>
      </c>
      <c r="L239">
        <v>1.1000000000000001</v>
      </c>
      <c r="O239" t="s">
        <v>478</v>
      </c>
      <c r="Q239">
        <v>29.2</v>
      </c>
      <c r="Y239">
        <v>31.9</v>
      </c>
    </row>
    <row r="240" spans="1:27" x14ac:dyDescent="0.25">
      <c r="A240" s="4" t="s">
        <v>479</v>
      </c>
      <c r="B240" t="s">
        <v>480</v>
      </c>
      <c r="O240" t="s">
        <v>480</v>
      </c>
    </row>
    <row r="241" spans="1:27" x14ac:dyDescent="0.25">
      <c r="A241" s="4" t="s">
        <v>481</v>
      </c>
      <c r="B241" t="s">
        <v>482</v>
      </c>
      <c r="O241" t="s">
        <v>482</v>
      </c>
    </row>
    <row r="242" spans="1:27" x14ac:dyDescent="0.25">
      <c r="A242" s="4" t="s">
        <v>483</v>
      </c>
      <c r="B242" t="s">
        <v>484</v>
      </c>
      <c r="O242" t="s">
        <v>484</v>
      </c>
    </row>
    <row r="243" spans="1:27" x14ac:dyDescent="0.25">
      <c r="A243" s="4" t="s">
        <v>485</v>
      </c>
      <c r="B243" t="s">
        <v>486</v>
      </c>
      <c r="C243">
        <v>6</v>
      </c>
      <c r="H243">
        <v>3.4</v>
      </c>
      <c r="M243">
        <v>2</v>
      </c>
      <c r="O243" t="s">
        <v>486</v>
      </c>
      <c r="P243">
        <v>50.6</v>
      </c>
      <c r="U243">
        <v>41.5</v>
      </c>
      <c r="Z243">
        <v>30.5</v>
      </c>
    </row>
    <row r="244" spans="1:27" x14ac:dyDescent="0.25">
      <c r="A244" s="4" t="s">
        <v>487</v>
      </c>
      <c r="B244" t="s">
        <v>488</v>
      </c>
      <c r="E244">
        <v>2.1</v>
      </c>
      <c r="F244">
        <v>3.9</v>
      </c>
      <c r="G244">
        <v>2</v>
      </c>
      <c r="H244">
        <v>2.2999999999999998</v>
      </c>
      <c r="I244">
        <v>1.8</v>
      </c>
      <c r="J244">
        <v>1.3</v>
      </c>
      <c r="K244">
        <v>0.6</v>
      </c>
      <c r="L244">
        <v>0.7</v>
      </c>
      <c r="M244">
        <v>0.8</v>
      </c>
      <c r="N244">
        <v>0.1</v>
      </c>
      <c r="O244" t="s">
        <v>488</v>
      </c>
      <c r="R244">
        <v>33.700000000000003</v>
      </c>
      <c r="S244">
        <v>37</v>
      </c>
      <c r="T244">
        <v>27</v>
      </c>
      <c r="U244">
        <v>24.6</v>
      </c>
      <c r="V244">
        <v>21.9</v>
      </c>
      <c r="W244">
        <v>19.100000000000001</v>
      </c>
      <c r="X244">
        <v>15.7</v>
      </c>
      <c r="Y244">
        <v>15.7</v>
      </c>
      <c r="Z244">
        <v>15.2</v>
      </c>
      <c r="AA244">
        <v>13.1</v>
      </c>
    </row>
    <row r="245" spans="1:27" x14ac:dyDescent="0.25">
      <c r="A245" s="4" t="s">
        <v>489</v>
      </c>
      <c r="B245" t="s">
        <v>490</v>
      </c>
      <c r="M245">
        <v>3.3</v>
      </c>
      <c r="O245" t="s">
        <v>490</v>
      </c>
      <c r="Z245">
        <v>46.7</v>
      </c>
    </row>
    <row r="246" spans="1:27" x14ac:dyDescent="0.25">
      <c r="A246" s="4" t="s">
        <v>491</v>
      </c>
      <c r="B246" t="s">
        <v>492</v>
      </c>
      <c r="C246">
        <v>86.2</v>
      </c>
      <c r="J246">
        <v>60.3</v>
      </c>
      <c r="N246">
        <v>49.6</v>
      </c>
      <c r="O246" t="s">
        <v>492</v>
      </c>
      <c r="P246">
        <v>99.4</v>
      </c>
      <c r="W246">
        <v>94.9</v>
      </c>
      <c r="AA246">
        <v>93.2</v>
      </c>
    </row>
    <row r="247" spans="1:27" x14ac:dyDescent="0.25">
      <c r="A247" s="4" t="s">
        <v>493</v>
      </c>
      <c r="B247" t="s">
        <v>494</v>
      </c>
      <c r="E247">
        <v>64.900000000000006</v>
      </c>
      <c r="H247">
        <v>56.3</v>
      </c>
      <c r="L247">
        <v>44.5</v>
      </c>
      <c r="O247" t="s">
        <v>494</v>
      </c>
      <c r="R247">
        <v>94.2</v>
      </c>
      <c r="U247">
        <v>92.3</v>
      </c>
      <c r="Y247">
        <v>89.1</v>
      </c>
    </row>
    <row r="248" spans="1:27" x14ac:dyDescent="0.25">
      <c r="A248" s="4" t="s">
        <v>495</v>
      </c>
      <c r="B248" t="s">
        <v>496</v>
      </c>
      <c r="E248">
        <v>1.5</v>
      </c>
      <c r="F248">
        <v>0.6</v>
      </c>
      <c r="G248">
        <v>0.5</v>
      </c>
      <c r="H248">
        <v>0.2</v>
      </c>
      <c r="I248">
        <v>0.1</v>
      </c>
      <c r="J248">
        <v>0.1</v>
      </c>
      <c r="K248">
        <v>0</v>
      </c>
      <c r="L248">
        <v>0.1</v>
      </c>
      <c r="M248">
        <v>0</v>
      </c>
      <c r="N248">
        <v>0</v>
      </c>
      <c r="O248" t="s">
        <v>496</v>
      </c>
      <c r="R248">
        <v>43.5</v>
      </c>
      <c r="S248">
        <v>34.6</v>
      </c>
      <c r="T248">
        <v>26.7</v>
      </c>
      <c r="U248">
        <v>17</v>
      </c>
      <c r="V248">
        <v>13.4</v>
      </c>
      <c r="W248">
        <v>12.7</v>
      </c>
      <c r="X248">
        <v>7.2</v>
      </c>
      <c r="Y248">
        <v>8.1999999999999993</v>
      </c>
      <c r="Z248">
        <v>5.3</v>
      </c>
      <c r="AA248">
        <v>4.5</v>
      </c>
    </row>
    <row r="249" spans="1:27" x14ac:dyDescent="0.25">
      <c r="A249" s="4" t="s">
        <v>497</v>
      </c>
      <c r="B249" t="s">
        <v>498</v>
      </c>
      <c r="C249">
        <v>25.5</v>
      </c>
      <c r="D249">
        <v>23.9</v>
      </c>
      <c r="E249">
        <v>21.1</v>
      </c>
      <c r="F249">
        <v>19.100000000000001</v>
      </c>
      <c r="G249">
        <v>16.5</v>
      </c>
      <c r="H249">
        <v>13.6</v>
      </c>
      <c r="I249">
        <v>13</v>
      </c>
      <c r="J249">
        <v>11.6</v>
      </c>
      <c r="K249">
        <v>10.9</v>
      </c>
      <c r="L249">
        <v>9.6999999999999993</v>
      </c>
      <c r="M249">
        <v>8.4</v>
      </c>
      <c r="N249">
        <v>6.4</v>
      </c>
      <c r="O249" t="s">
        <v>498</v>
      </c>
      <c r="P249">
        <v>70</v>
      </c>
      <c r="Q249">
        <v>68.099999999999994</v>
      </c>
      <c r="R249">
        <v>65.400000000000006</v>
      </c>
      <c r="S249">
        <v>63.8</v>
      </c>
      <c r="T249">
        <v>60.9</v>
      </c>
      <c r="U249">
        <v>57.4</v>
      </c>
      <c r="V249">
        <v>54.6</v>
      </c>
      <c r="W249">
        <v>51.2</v>
      </c>
      <c r="X249">
        <v>49</v>
      </c>
      <c r="Y249">
        <v>47.1</v>
      </c>
      <c r="Z249">
        <v>43.9</v>
      </c>
      <c r="AA249">
        <v>40.700000000000003</v>
      </c>
    </row>
    <row r="250" spans="1:27" x14ac:dyDescent="0.25">
      <c r="A250" s="4" t="s">
        <v>499</v>
      </c>
      <c r="B250" t="s">
        <v>500</v>
      </c>
      <c r="C250">
        <v>0.5</v>
      </c>
      <c r="D250">
        <v>0.4</v>
      </c>
      <c r="E250">
        <v>0.5</v>
      </c>
      <c r="F250">
        <v>0.7</v>
      </c>
      <c r="G250">
        <v>0.8</v>
      </c>
      <c r="H250">
        <v>0.7</v>
      </c>
      <c r="I250">
        <v>0.5</v>
      </c>
      <c r="J250">
        <v>0.3</v>
      </c>
      <c r="K250">
        <v>0.2</v>
      </c>
      <c r="L250">
        <v>0.2</v>
      </c>
      <c r="M250">
        <v>0.2</v>
      </c>
      <c r="N250">
        <v>0.1</v>
      </c>
      <c r="O250" t="s">
        <v>500</v>
      </c>
      <c r="P250">
        <v>9.4</v>
      </c>
      <c r="Q250">
        <v>10.4</v>
      </c>
      <c r="R250">
        <v>13.9</v>
      </c>
      <c r="S250">
        <v>18.3</v>
      </c>
      <c r="T250">
        <v>19.600000000000001</v>
      </c>
      <c r="U250">
        <v>17.600000000000001</v>
      </c>
      <c r="V250">
        <v>16.899999999999999</v>
      </c>
      <c r="W250">
        <v>14.7</v>
      </c>
      <c r="X250">
        <v>10.4</v>
      </c>
      <c r="Y250">
        <v>9.8000000000000007</v>
      </c>
      <c r="Z250">
        <v>8.6</v>
      </c>
      <c r="AA250">
        <v>5.9</v>
      </c>
    </row>
    <row r="251" spans="1:27" s="2" customFormat="1" x14ac:dyDescent="0.25">
      <c r="A251" s="5" t="s">
        <v>501</v>
      </c>
      <c r="B251" s="2" t="s">
        <v>502</v>
      </c>
      <c r="C251" s="2">
        <v>0.7</v>
      </c>
      <c r="G251" s="2">
        <v>1</v>
      </c>
      <c r="J251" s="2">
        <v>1</v>
      </c>
      <c r="M251" s="2">
        <v>1</v>
      </c>
      <c r="O251" s="2" t="s">
        <v>502</v>
      </c>
      <c r="P251" s="2">
        <v>1.2</v>
      </c>
      <c r="T251" s="2">
        <v>1.7</v>
      </c>
      <c r="W251" s="2">
        <v>1.5</v>
      </c>
      <c r="Z251" s="2">
        <v>1.7</v>
      </c>
    </row>
    <row r="252" spans="1:27" x14ac:dyDescent="0.25">
      <c r="A252" s="4" t="s">
        <v>503</v>
      </c>
      <c r="B252" t="s">
        <v>504</v>
      </c>
      <c r="C252">
        <v>61.5</v>
      </c>
      <c r="E252">
        <v>57.5</v>
      </c>
      <c r="F252">
        <v>61.6</v>
      </c>
      <c r="O252" t="s">
        <v>504</v>
      </c>
      <c r="P252">
        <v>96.4</v>
      </c>
      <c r="R252">
        <v>96.1</v>
      </c>
      <c r="S252">
        <v>96.4</v>
      </c>
    </row>
    <row r="253" spans="1:27" x14ac:dyDescent="0.25">
      <c r="A253" s="4" t="s">
        <v>505</v>
      </c>
      <c r="B253" t="s">
        <v>506</v>
      </c>
      <c r="O253" t="s">
        <v>506</v>
      </c>
    </row>
    <row r="254" spans="1:27" x14ac:dyDescent="0.25">
      <c r="A254" s="4" t="s">
        <v>507</v>
      </c>
      <c r="B254" t="s">
        <v>508</v>
      </c>
      <c r="D254">
        <v>11</v>
      </c>
      <c r="E254">
        <v>18.3</v>
      </c>
      <c r="F254">
        <v>22.8</v>
      </c>
      <c r="G254">
        <v>19.8</v>
      </c>
      <c r="H254">
        <v>19</v>
      </c>
      <c r="I254">
        <v>10.3</v>
      </c>
      <c r="O254" t="s">
        <v>508</v>
      </c>
      <c r="Q254">
        <v>46.3</v>
      </c>
      <c r="R254">
        <v>56.5</v>
      </c>
      <c r="S254">
        <v>62.9</v>
      </c>
      <c r="T254">
        <v>58</v>
      </c>
      <c r="U254">
        <v>49.2</v>
      </c>
      <c r="V254">
        <v>36.1</v>
      </c>
    </row>
    <row r="255" spans="1:27" x14ac:dyDescent="0.25">
      <c r="A255" s="4" t="s">
        <v>509</v>
      </c>
      <c r="B255" t="s">
        <v>510</v>
      </c>
      <c r="O255" t="s">
        <v>510</v>
      </c>
    </row>
    <row r="256" spans="1:27" x14ac:dyDescent="0.25">
      <c r="A256" s="4" t="s">
        <v>511</v>
      </c>
      <c r="B256" t="s">
        <v>512</v>
      </c>
      <c r="O256" t="s">
        <v>512</v>
      </c>
    </row>
    <row r="257" spans="1:27" x14ac:dyDescent="0.25">
      <c r="A257" s="4" t="s">
        <v>513</v>
      </c>
      <c r="B257" t="s">
        <v>514</v>
      </c>
      <c r="E257">
        <v>37.1</v>
      </c>
      <c r="G257">
        <v>25.8</v>
      </c>
      <c r="I257">
        <v>18.8</v>
      </c>
      <c r="K257">
        <v>14.1</v>
      </c>
      <c r="M257">
        <v>4</v>
      </c>
      <c r="O257" t="s">
        <v>514</v>
      </c>
      <c r="R257">
        <v>89</v>
      </c>
      <c r="T257">
        <v>84.2</v>
      </c>
      <c r="V257">
        <v>79.900000000000006</v>
      </c>
      <c r="X257">
        <v>77.8</v>
      </c>
      <c r="Z257">
        <v>46.8</v>
      </c>
    </row>
    <row r="258" spans="1:27" x14ac:dyDescent="0.25">
      <c r="A258" s="4" t="s">
        <v>515</v>
      </c>
      <c r="B258" t="s">
        <v>516</v>
      </c>
      <c r="M258">
        <v>13.2</v>
      </c>
      <c r="O258" t="s">
        <v>516</v>
      </c>
      <c r="Z258">
        <v>72.400000000000006</v>
      </c>
    </row>
    <row r="259" spans="1:27" x14ac:dyDescent="0.25">
      <c r="A259" s="4" t="s">
        <v>517</v>
      </c>
      <c r="B259" t="s">
        <v>518</v>
      </c>
      <c r="C259">
        <v>27.7</v>
      </c>
      <c r="D259">
        <v>26.9</v>
      </c>
      <c r="E259">
        <v>25.7</v>
      </c>
      <c r="F259">
        <v>24.7</v>
      </c>
      <c r="G259">
        <v>22.9</v>
      </c>
      <c r="H259">
        <v>20.9</v>
      </c>
      <c r="I259">
        <v>20.3</v>
      </c>
      <c r="J259">
        <v>19.100000000000001</v>
      </c>
      <c r="K259">
        <v>18.399999999999999</v>
      </c>
      <c r="L259">
        <v>17.600000000000001</v>
      </c>
      <c r="M259">
        <v>16</v>
      </c>
      <c r="N259">
        <v>13.8</v>
      </c>
      <c r="O259" t="s">
        <v>518</v>
      </c>
      <c r="P259">
        <v>66</v>
      </c>
      <c r="Q259">
        <v>65.2</v>
      </c>
      <c r="R259">
        <v>64.2</v>
      </c>
      <c r="S259">
        <v>63.4</v>
      </c>
      <c r="T259">
        <v>62.1</v>
      </c>
      <c r="U259">
        <v>60.5</v>
      </c>
      <c r="V259">
        <v>59.1</v>
      </c>
      <c r="W259">
        <v>57.7</v>
      </c>
      <c r="X259">
        <v>56.6</v>
      </c>
      <c r="Y259">
        <v>55.7</v>
      </c>
      <c r="Z259">
        <v>53.9</v>
      </c>
      <c r="AA259">
        <v>52.2</v>
      </c>
    </row>
    <row r="260" spans="1:27" x14ac:dyDescent="0.25">
      <c r="A260" s="4" t="s">
        <v>519</v>
      </c>
      <c r="B260" t="s">
        <v>520</v>
      </c>
      <c r="E260">
        <v>2</v>
      </c>
      <c r="K260">
        <v>0.6</v>
      </c>
      <c r="O260" t="s">
        <v>520</v>
      </c>
      <c r="R260">
        <v>36.6</v>
      </c>
      <c r="X260">
        <v>35.9</v>
      </c>
    </row>
    <row r="261" spans="1:27" x14ac:dyDescent="0.25">
      <c r="A261" s="4" t="s">
        <v>521</v>
      </c>
      <c r="B261" t="s">
        <v>522</v>
      </c>
      <c r="F261">
        <v>1.9</v>
      </c>
      <c r="H261">
        <v>3.5</v>
      </c>
      <c r="I261">
        <v>3.6</v>
      </c>
      <c r="L261">
        <v>3.2</v>
      </c>
      <c r="M261">
        <v>2.5</v>
      </c>
      <c r="N261">
        <v>1.7</v>
      </c>
      <c r="O261" t="s">
        <v>522</v>
      </c>
      <c r="S261">
        <v>58.1</v>
      </c>
      <c r="U261">
        <v>57.2</v>
      </c>
      <c r="V261">
        <v>59.1</v>
      </c>
      <c r="Y261">
        <v>48.7</v>
      </c>
      <c r="Z261">
        <v>49.7</v>
      </c>
      <c r="AA261">
        <v>45.9</v>
      </c>
    </row>
    <row r="262" spans="1:27" x14ac:dyDescent="0.25">
      <c r="A262" s="4" t="s">
        <v>523</v>
      </c>
      <c r="B262" t="s">
        <v>524</v>
      </c>
      <c r="H262">
        <v>9.4</v>
      </c>
      <c r="O262" t="s">
        <v>524</v>
      </c>
      <c r="U262">
        <v>75.900000000000006</v>
      </c>
    </row>
    <row r="263" spans="1:27" x14ac:dyDescent="0.25">
      <c r="A263" s="4" t="s">
        <v>525</v>
      </c>
      <c r="B263" t="s">
        <v>526</v>
      </c>
      <c r="C263">
        <v>34.799999999999997</v>
      </c>
      <c r="H263">
        <v>25.7</v>
      </c>
      <c r="K263">
        <v>16.7</v>
      </c>
      <c r="M263">
        <v>16.2</v>
      </c>
      <c r="O263" t="s">
        <v>526</v>
      </c>
      <c r="P263">
        <v>70.2</v>
      </c>
      <c r="U263">
        <v>67.7</v>
      </c>
      <c r="X263">
        <v>57.6</v>
      </c>
      <c r="Z263">
        <v>56</v>
      </c>
    </row>
    <row r="264" spans="1:27" x14ac:dyDescent="0.25">
      <c r="A264" s="4" t="s">
        <v>527</v>
      </c>
      <c r="B264" t="s">
        <v>528</v>
      </c>
      <c r="E264">
        <v>52.1</v>
      </c>
      <c r="G264">
        <v>58.4</v>
      </c>
      <c r="I264">
        <v>62.1</v>
      </c>
      <c r="M264">
        <v>65.8</v>
      </c>
      <c r="O264" t="s">
        <v>528</v>
      </c>
      <c r="R264">
        <v>92.9</v>
      </c>
      <c r="T264">
        <v>89.3</v>
      </c>
      <c r="V264">
        <v>90.4</v>
      </c>
      <c r="Z264">
        <v>91.1</v>
      </c>
    </row>
    <row r="265" spans="1:27" x14ac:dyDescent="0.25">
      <c r="A265" s="4" t="s">
        <v>529</v>
      </c>
      <c r="B265" t="s">
        <v>530</v>
      </c>
      <c r="N265">
        <v>21.4</v>
      </c>
      <c r="O265" t="s">
        <v>530</v>
      </c>
      <c r="AA265">
        <v>74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B4CA-BAB9-4D14-9D3A-3EECA0B59E04}">
  <dimension ref="A1:N265"/>
  <sheetViews>
    <sheetView workbookViewId="0">
      <selection activeCell="I32" sqref="I32"/>
    </sheetView>
  </sheetViews>
  <sheetFormatPr defaultRowHeight="15" x14ac:dyDescent="0.25"/>
  <cols>
    <col min="1" max="1" width="8.85546875" style="4"/>
  </cols>
  <sheetData>
    <row r="1" spans="1:14" s="4" customFormat="1" x14ac:dyDescent="0.25">
      <c r="A1" s="4" t="s">
        <v>0</v>
      </c>
      <c r="B1" s="4" t="s">
        <v>1</v>
      </c>
      <c r="C1" s="4" t="s">
        <v>547</v>
      </c>
      <c r="D1" s="4" t="s">
        <v>548</v>
      </c>
      <c r="E1" s="4" t="s">
        <v>549</v>
      </c>
      <c r="F1" s="4" t="s">
        <v>550</v>
      </c>
      <c r="G1" s="4" t="s">
        <v>551</v>
      </c>
      <c r="H1" s="4" t="s">
        <v>552</v>
      </c>
      <c r="I1" s="4" t="s">
        <v>553</v>
      </c>
      <c r="J1" s="4" t="s">
        <v>554</v>
      </c>
      <c r="K1" s="4" t="s">
        <v>555</v>
      </c>
      <c r="L1" s="4" t="s">
        <v>556</v>
      </c>
      <c r="M1" s="4" t="s">
        <v>557</v>
      </c>
      <c r="N1" s="4" t="s">
        <v>558</v>
      </c>
    </row>
    <row r="2" spans="1:14" x14ac:dyDescent="0.25">
      <c r="A2" s="4" t="s">
        <v>2</v>
      </c>
      <c r="B2" t="s">
        <v>3</v>
      </c>
    </row>
    <row r="3" spans="1:14" x14ac:dyDescent="0.25">
      <c r="A3" s="4" t="s">
        <v>5</v>
      </c>
      <c r="B3" t="s">
        <v>6</v>
      </c>
    </row>
    <row r="4" spans="1:14" x14ac:dyDescent="0.25">
      <c r="A4" s="4" t="s">
        <v>7</v>
      </c>
      <c r="B4" t="s">
        <v>8</v>
      </c>
      <c r="C4">
        <v>80.5</v>
      </c>
      <c r="K4">
        <v>82.9</v>
      </c>
    </row>
    <row r="5" spans="1:14" x14ac:dyDescent="0.25">
      <c r="A5" s="4" t="s">
        <v>9</v>
      </c>
      <c r="B5" t="s">
        <v>10</v>
      </c>
      <c r="E5">
        <v>49.7</v>
      </c>
      <c r="H5">
        <v>38.5</v>
      </c>
      <c r="K5">
        <v>31.1</v>
      </c>
    </row>
    <row r="6" spans="1:14" x14ac:dyDescent="0.25">
      <c r="A6" s="4" t="s">
        <v>11</v>
      </c>
      <c r="B6" t="s">
        <v>12</v>
      </c>
    </row>
    <row r="7" spans="1:14" x14ac:dyDescent="0.25">
      <c r="A7" s="4" t="s">
        <v>13</v>
      </c>
      <c r="B7" t="s">
        <v>14</v>
      </c>
    </row>
    <row r="8" spans="1:14" x14ac:dyDescent="0.25">
      <c r="A8" s="4" t="s">
        <v>15</v>
      </c>
      <c r="B8" t="s">
        <v>16</v>
      </c>
    </row>
    <row r="9" spans="1:14" x14ac:dyDescent="0.25">
      <c r="A9" s="4" t="s">
        <v>17</v>
      </c>
      <c r="B9" t="s">
        <v>18</v>
      </c>
      <c r="C9">
        <v>31.5</v>
      </c>
      <c r="D9">
        <v>36.9</v>
      </c>
      <c r="E9">
        <v>49.9</v>
      </c>
      <c r="F9">
        <v>34.200000000000003</v>
      </c>
      <c r="G9">
        <v>29.4</v>
      </c>
      <c r="H9">
        <v>25.5</v>
      </c>
      <c r="I9">
        <v>20.9</v>
      </c>
      <c r="J9">
        <v>19.8</v>
      </c>
      <c r="K9">
        <v>17.7</v>
      </c>
      <c r="L9">
        <v>16.2</v>
      </c>
      <c r="M9">
        <v>15.3</v>
      </c>
      <c r="N9">
        <v>11.5</v>
      </c>
    </row>
    <row r="10" spans="1:14" x14ac:dyDescent="0.25">
      <c r="A10" s="4" t="s">
        <v>19</v>
      </c>
      <c r="B10" t="s">
        <v>20</v>
      </c>
      <c r="D10">
        <v>81</v>
      </c>
      <c r="E10">
        <v>79.7</v>
      </c>
      <c r="F10">
        <v>78.900000000000006</v>
      </c>
      <c r="G10">
        <v>68.099999999999994</v>
      </c>
      <c r="H10">
        <v>61.3</v>
      </c>
      <c r="I10">
        <v>55.9</v>
      </c>
      <c r="J10">
        <v>48.4</v>
      </c>
      <c r="K10">
        <v>45.5</v>
      </c>
      <c r="L10">
        <v>54.3</v>
      </c>
      <c r="M10">
        <v>55</v>
      </c>
      <c r="N10">
        <v>51.3</v>
      </c>
    </row>
    <row r="11" spans="1:14" x14ac:dyDescent="0.25">
      <c r="A11" s="4" t="s">
        <v>21</v>
      </c>
      <c r="B11" t="s">
        <v>22</v>
      </c>
    </row>
    <row r="12" spans="1:14" x14ac:dyDescent="0.25">
      <c r="A12" s="4" t="s">
        <v>23</v>
      </c>
      <c r="B12" t="s">
        <v>24</v>
      </c>
    </row>
    <row r="13" spans="1:14" x14ac:dyDescent="0.25">
      <c r="A13" s="4" t="s">
        <v>25</v>
      </c>
      <c r="B13" t="s">
        <v>26</v>
      </c>
      <c r="D13">
        <v>1.3</v>
      </c>
      <c r="F13">
        <v>1.5</v>
      </c>
      <c r="G13">
        <v>1</v>
      </c>
      <c r="K13">
        <v>0.7</v>
      </c>
      <c r="M13">
        <v>0.7</v>
      </c>
    </row>
    <row r="14" spans="1:14" x14ac:dyDescent="0.25">
      <c r="A14" s="4" t="s">
        <v>27</v>
      </c>
      <c r="B14" t="s">
        <v>28</v>
      </c>
      <c r="C14">
        <v>0.2</v>
      </c>
      <c r="F14">
        <v>0.6</v>
      </c>
      <c r="G14">
        <v>0.3</v>
      </c>
      <c r="H14">
        <v>0.4</v>
      </c>
      <c r="I14">
        <v>0.4</v>
      </c>
      <c r="J14">
        <v>0.7</v>
      </c>
      <c r="K14">
        <v>0.9</v>
      </c>
      <c r="L14">
        <v>1</v>
      </c>
      <c r="M14">
        <v>0.8</v>
      </c>
      <c r="N14">
        <v>1</v>
      </c>
    </row>
    <row r="15" spans="1:14" x14ac:dyDescent="0.25">
      <c r="A15" s="4" t="s">
        <v>29</v>
      </c>
      <c r="B15" t="s">
        <v>30</v>
      </c>
      <c r="D15">
        <v>52</v>
      </c>
      <c r="E15">
        <v>16.2</v>
      </c>
      <c r="F15">
        <v>17.5</v>
      </c>
      <c r="G15">
        <v>13.9</v>
      </c>
      <c r="H15">
        <v>7.1</v>
      </c>
    </row>
    <row r="16" spans="1:14" x14ac:dyDescent="0.25">
      <c r="A16" s="4" t="s">
        <v>31</v>
      </c>
      <c r="B16" t="s">
        <v>32</v>
      </c>
      <c r="I16">
        <v>98.4</v>
      </c>
    </row>
    <row r="17" spans="1:14" x14ac:dyDescent="0.25">
      <c r="A17" s="4" t="s">
        <v>33</v>
      </c>
      <c r="B17" t="s">
        <v>34</v>
      </c>
      <c r="C17">
        <v>0.7</v>
      </c>
      <c r="F17">
        <v>0.7</v>
      </c>
      <c r="G17">
        <v>0.2</v>
      </c>
      <c r="H17">
        <v>0.5</v>
      </c>
      <c r="I17">
        <v>0.4</v>
      </c>
      <c r="J17">
        <v>0.3</v>
      </c>
      <c r="K17">
        <v>0.3</v>
      </c>
      <c r="L17">
        <v>0.3</v>
      </c>
      <c r="M17">
        <v>0.4</v>
      </c>
      <c r="N17">
        <v>0.5</v>
      </c>
    </row>
    <row r="18" spans="1:14" x14ac:dyDescent="0.25">
      <c r="A18" s="4" t="s">
        <v>35</v>
      </c>
      <c r="B18" t="s">
        <v>36</v>
      </c>
      <c r="F18">
        <v>93.1</v>
      </c>
      <c r="N18">
        <v>90.1</v>
      </c>
    </row>
    <row r="19" spans="1:14" x14ac:dyDescent="0.25">
      <c r="A19" s="4" t="s">
        <v>37</v>
      </c>
      <c r="B19" t="s">
        <v>38</v>
      </c>
      <c r="F19">
        <v>93.1</v>
      </c>
      <c r="L19">
        <v>94.2</v>
      </c>
    </row>
    <row r="20" spans="1:14" x14ac:dyDescent="0.25">
      <c r="A20" s="4" t="s">
        <v>39</v>
      </c>
      <c r="B20" t="s">
        <v>40</v>
      </c>
      <c r="C20">
        <v>91.5</v>
      </c>
      <c r="H20">
        <v>89.2</v>
      </c>
      <c r="M20">
        <v>87.6</v>
      </c>
    </row>
    <row r="21" spans="1:14" x14ac:dyDescent="0.25">
      <c r="A21" s="4" t="s">
        <v>41</v>
      </c>
      <c r="B21" t="s">
        <v>42</v>
      </c>
      <c r="I21">
        <v>24</v>
      </c>
      <c r="J21">
        <v>12.2</v>
      </c>
      <c r="K21">
        <v>9.1</v>
      </c>
      <c r="L21">
        <v>9</v>
      </c>
      <c r="M21">
        <v>11.4</v>
      </c>
      <c r="N21">
        <v>11.9</v>
      </c>
    </row>
    <row r="22" spans="1:14" x14ac:dyDescent="0.25">
      <c r="A22" s="4" t="s">
        <v>43</v>
      </c>
      <c r="B22" t="s">
        <v>44</v>
      </c>
    </row>
    <row r="23" spans="1:14" x14ac:dyDescent="0.25">
      <c r="A23" s="4" t="s">
        <v>45</v>
      </c>
      <c r="B23" t="s">
        <v>46</v>
      </c>
    </row>
    <row r="24" spans="1:14" x14ac:dyDescent="0.25">
      <c r="A24" s="4" t="s">
        <v>47</v>
      </c>
      <c r="B24" t="s">
        <v>48</v>
      </c>
      <c r="D24">
        <v>8.6</v>
      </c>
      <c r="G24">
        <v>3.9</v>
      </c>
      <c r="J24">
        <v>2.8</v>
      </c>
      <c r="N24">
        <v>3.8</v>
      </c>
    </row>
    <row r="25" spans="1:14" x14ac:dyDescent="0.25">
      <c r="A25" s="4" t="s">
        <v>49</v>
      </c>
      <c r="B25" t="s">
        <v>50</v>
      </c>
      <c r="C25">
        <v>65.900000000000006</v>
      </c>
      <c r="D25">
        <v>50</v>
      </c>
      <c r="E25">
        <v>42.7</v>
      </c>
      <c r="F25">
        <v>39.1</v>
      </c>
      <c r="G25">
        <v>27.4</v>
      </c>
      <c r="H25">
        <v>17.100000000000001</v>
      </c>
      <c r="I25">
        <v>11.7</v>
      </c>
      <c r="J25">
        <v>7.6</v>
      </c>
      <c r="K25">
        <v>5.5</v>
      </c>
      <c r="L25">
        <v>5.0999999999999996</v>
      </c>
      <c r="M25">
        <v>3.6</v>
      </c>
      <c r="N25">
        <v>2.7</v>
      </c>
    </row>
    <row r="26" spans="1:14" x14ac:dyDescent="0.25">
      <c r="A26" s="4" t="s">
        <v>51</v>
      </c>
      <c r="B26" t="s">
        <v>52</v>
      </c>
    </row>
    <row r="27" spans="1:14" x14ac:dyDescent="0.25">
      <c r="A27" s="4" t="s">
        <v>53</v>
      </c>
      <c r="B27" t="s">
        <v>54</v>
      </c>
    </row>
    <row r="28" spans="1:14" x14ac:dyDescent="0.25">
      <c r="A28" s="4" t="s">
        <v>55</v>
      </c>
      <c r="B28" t="s">
        <v>56</v>
      </c>
      <c r="C28">
        <v>62</v>
      </c>
      <c r="D28">
        <v>57.3</v>
      </c>
      <c r="E28">
        <v>59.2</v>
      </c>
      <c r="G28">
        <v>52.8</v>
      </c>
      <c r="H28">
        <v>51.9</v>
      </c>
      <c r="I28">
        <v>47.9</v>
      </c>
      <c r="J28">
        <v>46.3</v>
      </c>
      <c r="K28">
        <v>39</v>
      </c>
      <c r="L28">
        <v>34.6</v>
      </c>
      <c r="N28">
        <v>27.9</v>
      </c>
    </row>
    <row r="29" spans="1:14" x14ac:dyDescent="0.25">
      <c r="A29" s="4" t="s">
        <v>57</v>
      </c>
      <c r="B29" t="s">
        <v>58</v>
      </c>
      <c r="D29">
        <v>41.1</v>
      </c>
      <c r="E29">
        <v>40.299999999999997</v>
      </c>
      <c r="F29">
        <v>41.5</v>
      </c>
      <c r="G29">
        <v>40.1</v>
      </c>
      <c r="H29">
        <v>37.9</v>
      </c>
      <c r="I29">
        <v>34</v>
      </c>
      <c r="J29">
        <v>31.9</v>
      </c>
      <c r="K29">
        <v>28.7</v>
      </c>
      <c r="L29">
        <v>27.3</v>
      </c>
      <c r="N29">
        <v>23.8</v>
      </c>
    </row>
    <row r="30" spans="1:14" x14ac:dyDescent="0.25">
      <c r="A30" s="4" t="s">
        <v>59</v>
      </c>
      <c r="B30" t="s">
        <v>60</v>
      </c>
    </row>
    <row r="31" spans="1:14" x14ac:dyDescent="0.25">
      <c r="A31" s="4" t="s">
        <v>61</v>
      </c>
      <c r="B31" t="s">
        <v>62</v>
      </c>
    </row>
    <row r="32" spans="1:14" x14ac:dyDescent="0.25">
      <c r="A32" s="4" t="s">
        <v>63</v>
      </c>
      <c r="B32" t="s">
        <v>64</v>
      </c>
      <c r="F32">
        <v>73</v>
      </c>
      <c r="J32">
        <v>61.6</v>
      </c>
    </row>
    <row r="33" spans="1:14" x14ac:dyDescent="0.25">
      <c r="A33" s="4" t="s">
        <v>65</v>
      </c>
      <c r="B33" t="s">
        <v>66</v>
      </c>
      <c r="E33">
        <v>65.3</v>
      </c>
      <c r="L33">
        <v>55.8</v>
      </c>
    </row>
    <row r="34" spans="1:14" x14ac:dyDescent="0.25">
      <c r="A34" s="4" t="s">
        <v>67</v>
      </c>
      <c r="B34" t="s">
        <v>68</v>
      </c>
      <c r="F34">
        <v>95.2</v>
      </c>
      <c r="K34">
        <v>92.7</v>
      </c>
    </row>
    <row r="35" spans="1:14" x14ac:dyDescent="0.25">
      <c r="A35" s="4" t="s">
        <v>69</v>
      </c>
      <c r="B35" t="s">
        <v>70</v>
      </c>
      <c r="C35">
        <v>0.7</v>
      </c>
      <c r="G35">
        <v>0.7</v>
      </c>
      <c r="J35">
        <v>0.5</v>
      </c>
      <c r="M35">
        <v>0.5</v>
      </c>
    </row>
    <row r="36" spans="1:14" x14ac:dyDescent="0.25">
      <c r="A36" s="4" t="s">
        <v>71</v>
      </c>
      <c r="B36" t="s">
        <v>72</v>
      </c>
    </row>
    <row r="37" spans="1:14" x14ac:dyDescent="0.25">
      <c r="A37" s="4" t="s">
        <v>73</v>
      </c>
      <c r="B37" t="s">
        <v>74</v>
      </c>
      <c r="C37">
        <v>0.2</v>
      </c>
      <c r="E37">
        <v>0.2</v>
      </c>
      <c r="I37">
        <v>0.3</v>
      </c>
      <c r="J37">
        <v>0.3</v>
      </c>
      <c r="K37">
        <v>0.3</v>
      </c>
      <c r="L37">
        <v>0.2</v>
      </c>
      <c r="M37">
        <v>0.2</v>
      </c>
      <c r="N37">
        <v>0</v>
      </c>
    </row>
    <row r="38" spans="1:14" x14ac:dyDescent="0.25">
      <c r="A38" s="4" t="s">
        <v>75</v>
      </c>
      <c r="B38" t="s">
        <v>76</v>
      </c>
    </row>
    <row r="39" spans="1:14" x14ac:dyDescent="0.25">
      <c r="A39" s="4" t="s">
        <v>77</v>
      </c>
      <c r="B39" t="s">
        <v>78</v>
      </c>
      <c r="C39">
        <v>30.4</v>
      </c>
      <c r="F39">
        <v>29.8</v>
      </c>
      <c r="I39">
        <v>19.2</v>
      </c>
      <c r="L39">
        <v>15.2</v>
      </c>
      <c r="N39">
        <v>12</v>
      </c>
    </row>
    <row r="40" spans="1:14" x14ac:dyDescent="0.25">
      <c r="A40" s="4" t="s">
        <v>79</v>
      </c>
      <c r="B40" t="s">
        <v>80</v>
      </c>
      <c r="E40">
        <v>80.599999999999994</v>
      </c>
      <c r="H40">
        <v>70.5</v>
      </c>
      <c r="K40">
        <v>60.7</v>
      </c>
      <c r="M40">
        <v>53.5</v>
      </c>
      <c r="N40">
        <v>49.2</v>
      </c>
    </row>
    <row r="41" spans="1:14" x14ac:dyDescent="0.25">
      <c r="A41" s="4" t="s">
        <v>81</v>
      </c>
      <c r="B41" t="s">
        <v>82</v>
      </c>
      <c r="E41">
        <v>81.900000000000006</v>
      </c>
      <c r="K41">
        <v>82</v>
      </c>
    </row>
    <row r="42" spans="1:14" x14ac:dyDescent="0.25">
      <c r="A42" s="4" t="s">
        <v>83</v>
      </c>
      <c r="B42" t="s">
        <v>84</v>
      </c>
      <c r="D42">
        <v>80.900000000000006</v>
      </c>
      <c r="J42">
        <v>81.400000000000006</v>
      </c>
    </row>
    <row r="43" spans="1:14" x14ac:dyDescent="0.25">
      <c r="A43" s="4" t="s">
        <v>85</v>
      </c>
      <c r="B43" t="s">
        <v>86</v>
      </c>
      <c r="G43">
        <v>99.7</v>
      </c>
    </row>
    <row r="44" spans="1:14" x14ac:dyDescent="0.25">
      <c r="A44" s="4" t="s">
        <v>87</v>
      </c>
      <c r="B44" t="s">
        <v>88</v>
      </c>
      <c r="H44">
        <v>90.1</v>
      </c>
      <c r="N44">
        <v>82.9</v>
      </c>
    </row>
    <row r="45" spans="1:14" x14ac:dyDescent="0.25">
      <c r="A45" s="4" t="s">
        <v>89</v>
      </c>
      <c r="B45" t="s">
        <v>90</v>
      </c>
      <c r="C45">
        <v>54.1</v>
      </c>
      <c r="D45">
        <v>60.8</v>
      </c>
      <c r="E45">
        <v>53.8</v>
      </c>
      <c r="F45">
        <v>51.5</v>
      </c>
      <c r="G45">
        <v>51.3</v>
      </c>
      <c r="H45">
        <v>47.2</v>
      </c>
      <c r="K45">
        <v>42.7</v>
      </c>
      <c r="L45">
        <v>41.5</v>
      </c>
      <c r="M45">
        <v>38.700000000000003</v>
      </c>
      <c r="N45">
        <v>35.799999999999997</v>
      </c>
    </row>
    <row r="46" spans="1:14" x14ac:dyDescent="0.25">
      <c r="A46" s="4" t="s">
        <v>91</v>
      </c>
      <c r="B46" t="s">
        <v>92</v>
      </c>
      <c r="G46">
        <v>64.599999999999994</v>
      </c>
    </row>
    <row r="47" spans="1:14" x14ac:dyDescent="0.25">
      <c r="A47" s="4" t="s">
        <v>93</v>
      </c>
      <c r="B47" t="s">
        <v>94</v>
      </c>
      <c r="D47">
        <v>63.4</v>
      </c>
      <c r="J47">
        <v>53.7</v>
      </c>
    </row>
    <row r="48" spans="1:14" x14ac:dyDescent="0.25">
      <c r="A48" s="4" t="s">
        <v>95</v>
      </c>
      <c r="B48" t="s">
        <v>96</v>
      </c>
      <c r="C48">
        <v>30.5</v>
      </c>
      <c r="D48">
        <v>23.9</v>
      </c>
      <c r="E48">
        <v>23</v>
      </c>
      <c r="F48">
        <v>22.4</v>
      </c>
      <c r="G48">
        <v>23.1</v>
      </c>
      <c r="H48">
        <v>21</v>
      </c>
      <c r="I48">
        <v>20.5</v>
      </c>
      <c r="J48">
        <v>16.3</v>
      </c>
      <c r="K48">
        <v>15.9</v>
      </c>
      <c r="L48">
        <v>15.6</v>
      </c>
      <c r="M48">
        <v>13.2</v>
      </c>
      <c r="N48">
        <v>13.7</v>
      </c>
    </row>
    <row r="49" spans="1:14" x14ac:dyDescent="0.25">
      <c r="A49" s="4" t="s">
        <v>97</v>
      </c>
      <c r="B49" t="s">
        <v>98</v>
      </c>
    </row>
    <row r="50" spans="1:14" x14ac:dyDescent="0.25">
      <c r="A50" s="4" t="s">
        <v>99</v>
      </c>
      <c r="B50" t="s">
        <v>100</v>
      </c>
    </row>
    <row r="51" spans="1:14" x14ac:dyDescent="0.25">
      <c r="A51" s="4" t="s">
        <v>101</v>
      </c>
      <c r="B51" t="s">
        <v>102</v>
      </c>
    </row>
    <row r="52" spans="1:14" x14ac:dyDescent="0.25">
      <c r="A52" s="4" t="s">
        <v>103</v>
      </c>
      <c r="B52" t="s">
        <v>104</v>
      </c>
    </row>
    <row r="53" spans="1:14" x14ac:dyDescent="0.25">
      <c r="A53" s="4" t="s">
        <v>105</v>
      </c>
      <c r="B53" t="s">
        <v>106</v>
      </c>
      <c r="G53">
        <v>0.2</v>
      </c>
      <c r="H53">
        <v>0.1</v>
      </c>
      <c r="I53">
        <v>0</v>
      </c>
      <c r="J53">
        <v>0.1</v>
      </c>
      <c r="K53">
        <v>0</v>
      </c>
      <c r="L53">
        <v>0.1</v>
      </c>
      <c r="M53">
        <v>0.2</v>
      </c>
      <c r="N53">
        <v>0.1</v>
      </c>
    </row>
    <row r="54" spans="1:14" x14ac:dyDescent="0.25">
      <c r="A54" s="4" t="s">
        <v>107</v>
      </c>
      <c r="B54" t="s">
        <v>108</v>
      </c>
      <c r="E54">
        <v>0.5</v>
      </c>
      <c r="G54">
        <v>1</v>
      </c>
      <c r="H54">
        <v>0.6</v>
      </c>
      <c r="I54">
        <v>0.6</v>
      </c>
      <c r="J54">
        <v>0.5</v>
      </c>
      <c r="K54">
        <v>0.3</v>
      </c>
      <c r="L54">
        <v>0.6</v>
      </c>
      <c r="M54">
        <v>0.7</v>
      </c>
      <c r="N54">
        <v>0.6</v>
      </c>
    </row>
    <row r="55" spans="1:14" x14ac:dyDescent="0.25">
      <c r="A55" s="4" t="s">
        <v>109</v>
      </c>
      <c r="B55" t="s">
        <v>110</v>
      </c>
      <c r="C55">
        <v>0.2</v>
      </c>
      <c r="D55">
        <v>0.2</v>
      </c>
      <c r="E55">
        <v>0.2</v>
      </c>
      <c r="F55">
        <v>0.2</v>
      </c>
      <c r="G55">
        <v>0.2</v>
      </c>
      <c r="H55">
        <v>0.2</v>
      </c>
      <c r="I55">
        <v>0</v>
      </c>
      <c r="J55">
        <v>0.2</v>
      </c>
      <c r="K55">
        <v>0.2</v>
      </c>
      <c r="L55">
        <v>0.2</v>
      </c>
      <c r="M55">
        <v>0.2</v>
      </c>
      <c r="N55">
        <v>0.2</v>
      </c>
    </row>
    <row r="56" spans="1:14" x14ac:dyDescent="0.25">
      <c r="A56" s="4" t="s">
        <v>111</v>
      </c>
      <c r="B56" t="s">
        <v>112</v>
      </c>
      <c r="E56">
        <v>76.7</v>
      </c>
    </row>
    <row r="57" spans="1:14" x14ac:dyDescent="0.25">
      <c r="A57" s="4" t="s">
        <v>113</v>
      </c>
      <c r="B57" t="s">
        <v>114</v>
      </c>
    </row>
    <row r="58" spans="1:14" x14ac:dyDescent="0.25">
      <c r="A58" s="4" t="s">
        <v>115</v>
      </c>
      <c r="B58" t="s">
        <v>116</v>
      </c>
      <c r="C58">
        <v>0.2</v>
      </c>
      <c r="F58">
        <v>0.4</v>
      </c>
      <c r="G58">
        <v>0.4</v>
      </c>
      <c r="H58">
        <v>0.5</v>
      </c>
      <c r="I58">
        <v>0.3</v>
      </c>
      <c r="J58">
        <v>0.5</v>
      </c>
      <c r="K58">
        <v>0.7</v>
      </c>
      <c r="L58">
        <v>0.9</v>
      </c>
      <c r="M58">
        <v>0.2</v>
      </c>
      <c r="N58">
        <v>0.6</v>
      </c>
    </row>
    <row r="59" spans="1:14" x14ac:dyDescent="0.25">
      <c r="A59" s="4" t="s">
        <v>117</v>
      </c>
      <c r="B59" t="s">
        <v>118</v>
      </c>
      <c r="C59">
        <v>30.2</v>
      </c>
      <c r="D59">
        <v>30.1</v>
      </c>
      <c r="E59">
        <v>30.6</v>
      </c>
      <c r="F59">
        <v>38.5</v>
      </c>
      <c r="G59">
        <v>45.8</v>
      </c>
      <c r="H59">
        <v>36.799999999999997</v>
      </c>
      <c r="I59">
        <v>33.700000000000003</v>
      </c>
      <c r="J59">
        <v>33.4</v>
      </c>
      <c r="K59">
        <v>34.5</v>
      </c>
      <c r="L59">
        <v>31.7</v>
      </c>
      <c r="M59">
        <v>31.8</v>
      </c>
      <c r="N59">
        <v>31</v>
      </c>
    </row>
    <row r="60" spans="1:14" x14ac:dyDescent="0.25">
      <c r="A60" s="4" t="s">
        <v>119</v>
      </c>
      <c r="B60" t="s">
        <v>120</v>
      </c>
      <c r="N60">
        <v>28.6</v>
      </c>
    </row>
    <row r="61" spans="1:14" x14ac:dyDescent="0.25">
      <c r="A61" s="4" t="s">
        <v>121</v>
      </c>
      <c r="B61" t="s">
        <v>122</v>
      </c>
    </row>
    <row r="62" spans="1:14" x14ac:dyDescent="0.25">
      <c r="A62" s="4" t="s">
        <v>123</v>
      </c>
      <c r="B62" t="s">
        <v>124</v>
      </c>
    </row>
    <row r="63" spans="1:14" x14ac:dyDescent="0.25">
      <c r="A63" s="4" t="s">
        <v>125</v>
      </c>
      <c r="B63" t="s">
        <v>126</v>
      </c>
      <c r="C63">
        <v>84.7</v>
      </c>
      <c r="D63">
        <v>82.7</v>
      </c>
      <c r="E63">
        <v>79.7</v>
      </c>
      <c r="F63">
        <v>77.2</v>
      </c>
      <c r="G63">
        <v>74.900000000000006</v>
      </c>
      <c r="H63">
        <v>71.3</v>
      </c>
      <c r="I63">
        <v>69.099999999999994</v>
      </c>
      <c r="J63">
        <v>65.7</v>
      </c>
      <c r="K63">
        <v>63.4</v>
      </c>
      <c r="L63">
        <v>60.3</v>
      </c>
      <c r="M63">
        <v>55.6</v>
      </c>
      <c r="N63">
        <v>51.9</v>
      </c>
    </row>
    <row r="64" spans="1:14" x14ac:dyDescent="0.25">
      <c r="A64" s="4" t="s">
        <v>127</v>
      </c>
      <c r="B64" t="s">
        <v>128</v>
      </c>
    </row>
    <row r="65" spans="1:14" x14ac:dyDescent="0.25">
      <c r="A65" s="4" t="s">
        <v>129</v>
      </c>
      <c r="B65" t="s">
        <v>130</v>
      </c>
      <c r="C65">
        <v>41.4</v>
      </c>
      <c r="D65">
        <v>38.700000000000003</v>
      </c>
      <c r="E65">
        <v>35.4</v>
      </c>
      <c r="F65">
        <v>33.700000000000003</v>
      </c>
      <c r="G65">
        <v>29.2</v>
      </c>
      <c r="H65">
        <v>26.5</v>
      </c>
      <c r="I65">
        <v>23.2</v>
      </c>
      <c r="J65">
        <v>20.100000000000001</v>
      </c>
      <c r="K65">
        <v>16.8</v>
      </c>
      <c r="L65">
        <v>16.7</v>
      </c>
      <c r="M65">
        <v>16</v>
      </c>
      <c r="N65">
        <v>15</v>
      </c>
    </row>
    <row r="66" spans="1:14" x14ac:dyDescent="0.25">
      <c r="A66" s="4" t="s">
        <v>131</v>
      </c>
      <c r="B66" t="s">
        <v>132</v>
      </c>
      <c r="C66">
        <v>72.7</v>
      </c>
      <c r="F66">
        <v>53.4</v>
      </c>
      <c r="G66">
        <v>54.9</v>
      </c>
      <c r="H66">
        <v>46.5</v>
      </c>
      <c r="I66">
        <v>41.3</v>
      </c>
      <c r="J66">
        <v>40.4</v>
      </c>
      <c r="K66">
        <v>38.200000000000003</v>
      </c>
      <c r="L66">
        <v>38.200000000000003</v>
      </c>
      <c r="M66">
        <v>34.4</v>
      </c>
      <c r="N66">
        <v>30.2</v>
      </c>
    </row>
    <row r="67" spans="1:14" x14ac:dyDescent="0.25">
      <c r="A67" s="4" t="s">
        <v>133</v>
      </c>
      <c r="B67" t="s">
        <v>134</v>
      </c>
      <c r="G67">
        <v>77.7</v>
      </c>
      <c r="K67">
        <v>77.400000000000006</v>
      </c>
      <c r="M67">
        <v>70.5</v>
      </c>
    </row>
    <row r="68" spans="1:14" x14ac:dyDescent="0.25">
      <c r="A68" s="4" t="s">
        <v>135</v>
      </c>
      <c r="B68" t="s">
        <v>136</v>
      </c>
    </row>
    <row r="69" spans="1:14" x14ac:dyDescent="0.25">
      <c r="A69" s="4" t="s">
        <v>137</v>
      </c>
      <c r="B69" t="s">
        <v>138</v>
      </c>
    </row>
    <row r="70" spans="1:14" x14ac:dyDescent="0.25">
      <c r="A70" s="4" t="s">
        <v>139</v>
      </c>
      <c r="B70" t="s">
        <v>140</v>
      </c>
      <c r="C70">
        <v>1.5</v>
      </c>
      <c r="F70">
        <v>2.1</v>
      </c>
      <c r="G70">
        <v>2.1</v>
      </c>
      <c r="H70">
        <v>2.2999999999999998</v>
      </c>
      <c r="I70">
        <v>2.4</v>
      </c>
      <c r="J70">
        <v>1.5</v>
      </c>
      <c r="K70">
        <v>1.7</v>
      </c>
      <c r="L70">
        <v>2.2999999999999998</v>
      </c>
      <c r="M70">
        <v>2.2999999999999998</v>
      </c>
      <c r="N70">
        <v>2.8</v>
      </c>
    </row>
    <row r="71" spans="1:14" x14ac:dyDescent="0.25">
      <c r="A71" s="4" t="s">
        <v>141</v>
      </c>
      <c r="B71" t="s">
        <v>142</v>
      </c>
      <c r="F71">
        <v>12.1</v>
      </c>
      <c r="G71">
        <v>8.1999999999999993</v>
      </c>
      <c r="H71">
        <v>5.5</v>
      </c>
      <c r="I71">
        <v>3.1</v>
      </c>
      <c r="J71">
        <v>2.2999999999999998</v>
      </c>
      <c r="K71">
        <v>2.2000000000000002</v>
      </c>
      <c r="L71">
        <v>2.9</v>
      </c>
      <c r="M71">
        <v>3.9</v>
      </c>
      <c r="N71">
        <v>3.4</v>
      </c>
    </row>
    <row r="72" spans="1:14" x14ac:dyDescent="0.25">
      <c r="A72" s="4" t="s">
        <v>143</v>
      </c>
      <c r="B72" t="s">
        <v>144</v>
      </c>
      <c r="G72">
        <v>95.9</v>
      </c>
      <c r="M72">
        <v>93.5</v>
      </c>
    </row>
    <row r="73" spans="1:14" x14ac:dyDescent="0.25">
      <c r="A73" s="4" t="s">
        <v>145</v>
      </c>
      <c r="B73" t="s">
        <v>146</v>
      </c>
    </row>
    <row r="74" spans="1:14" x14ac:dyDescent="0.25">
      <c r="A74" s="4" t="s">
        <v>147</v>
      </c>
      <c r="B74" t="s">
        <v>148</v>
      </c>
      <c r="D74">
        <v>85.2</v>
      </c>
      <c r="E74">
        <v>86</v>
      </c>
      <c r="F74">
        <v>87.8</v>
      </c>
      <c r="G74">
        <v>85.9</v>
      </c>
      <c r="H74">
        <v>85</v>
      </c>
      <c r="I74">
        <v>83.6</v>
      </c>
      <c r="J74">
        <v>82.8</v>
      </c>
      <c r="K74">
        <v>82.2</v>
      </c>
      <c r="L74">
        <v>81.7</v>
      </c>
      <c r="M74">
        <v>80.900000000000006</v>
      </c>
      <c r="N74">
        <v>80.5</v>
      </c>
    </row>
    <row r="75" spans="1:14" x14ac:dyDescent="0.25">
      <c r="A75" s="4" t="s">
        <v>149</v>
      </c>
      <c r="B75" t="s">
        <v>150</v>
      </c>
      <c r="C75">
        <v>0.2</v>
      </c>
      <c r="F75">
        <v>0.2</v>
      </c>
      <c r="G75">
        <v>0.1</v>
      </c>
      <c r="H75">
        <v>0.2</v>
      </c>
      <c r="I75">
        <v>0.2</v>
      </c>
      <c r="J75">
        <v>0.1</v>
      </c>
      <c r="K75">
        <v>0.2</v>
      </c>
      <c r="L75">
        <v>0.1</v>
      </c>
      <c r="M75">
        <v>0.1</v>
      </c>
      <c r="N75">
        <v>0.1</v>
      </c>
    </row>
    <row r="76" spans="1:14" x14ac:dyDescent="0.25">
      <c r="A76" s="4" t="s">
        <v>151</v>
      </c>
      <c r="B76" t="s">
        <v>152</v>
      </c>
      <c r="E76">
        <v>42.3</v>
      </c>
      <c r="K76">
        <v>37.299999999999997</v>
      </c>
    </row>
    <row r="77" spans="1:14" x14ac:dyDescent="0.25">
      <c r="A77" s="4" t="s">
        <v>153</v>
      </c>
      <c r="B77" t="s">
        <v>154</v>
      </c>
      <c r="C77">
        <v>0.2</v>
      </c>
      <c r="F77">
        <v>0.4</v>
      </c>
      <c r="G77">
        <v>0.2</v>
      </c>
      <c r="H77">
        <v>0.2</v>
      </c>
      <c r="I77">
        <v>0.2</v>
      </c>
      <c r="J77">
        <v>0.1</v>
      </c>
      <c r="K77">
        <v>0.1</v>
      </c>
      <c r="L77">
        <v>0.3</v>
      </c>
      <c r="M77">
        <v>0.3</v>
      </c>
      <c r="N77">
        <v>0.2</v>
      </c>
    </row>
    <row r="78" spans="1:14" x14ac:dyDescent="0.25">
      <c r="A78" s="4" t="s">
        <v>155</v>
      </c>
      <c r="B78" t="s">
        <v>156</v>
      </c>
    </row>
    <row r="79" spans="1:14" x14ac:dyDescent="0.25">
      <c r="A79" s="4" t="s">
        <v>157</v>
      </c>
      <c r="B79" t="s">
        <v>158</v>
      </c>
      <c r="H79">
        <v>51.6</v>
      </c>
    </row>
    <row r="80" spans="1:14" x14ac:dyDescent="0.25">
      <c r="A80" s="4" t="s">
        <v>159</v>
      </c>
      <c r="B80" t="s">
        <v>160</v>
      </c>
      <c r="H80">
        <v>56.1</v>
      </c>
    </row>
    <row r="81" spans="1:14" x14ac:dyDescent="0.25">
      <c r="A81" s="4" t="s">
        <v>161</v>
      </c>
      <c r="B81" t="s">
        <v>162</v>
      </c>
      <c r="G81">
        <v>1.2</v>
      </c>
      <c r="H81">
        <v>1.2</v>
      </c>
      <c r="I81">
        <v>0.8</v>
      </c>
      <c r="J81">
        <v>0.8</v>
      </c>
      <c r="K81">
        <v>1</v>
      </c>
      <c r="L81">
        <v>0.6</v>
      </c>
      <c r="M81">
        <v>0.7</v>
      </c>
      <c r="N81">
        <v>0.7</v>
      </c>
    </row>
    <row r="82" spans="1:14" x14ac:dyDescent="0.25">
      <c r="A82" s="4" t="s">
        <v>163</v>
      </c>
      <c r="B82" t="s">
        <v>164</v>
      </c>
      <c r="C82">
        <v>73.5</v>
      </c>
      <c r="D82">
        <v>76.099999999999994</v>
      </c>
      <c r="E82">
        <v>62.8</v>
      </c>
      <c r="F82">
        <v>62.4</v>
      </c>
      <c r="G82">
        <v>58.8</v>
      </c>
      <c r="H82">
        <v>61.3</v>
      </c>
      <c r="I82">
        <v>62.2</v>
      </c>
      <c r="J82">
        <v>64.5</v>
      </c>
      <c r="K82">
        <v>60</v>
      </c>
      <c r="L82">
        <v>59.9</v>
      </c>
      <c r="M82">
        <v>60.8</v>
      </c>
      <c r="N82">
        <v>59</v>
      </c>
    </row>
    <row r="83" spans="1:14" x14ac:dyDescent="0.25">
      <c r="A83" s="4" t="s">
        <v>165</v>
      </c>
      <c r="B83" t="s">
        <v>166</v>
      </c>
      <c r="H83">
        <v>76.7</v>
      </c>
    </row>
    <row r="84" spans="1:14" x14ac:dyDescent="0.25">
      <c r="A84" s="4" t="s">
        <v>167</v>
      </c>
      <c r="B84" t="s">
        <v>168</v>
      </c>
    </row>
    <row r="85" spans="1:14" x14ac:dyDescent="0.25">
      <c r="A85" s="4" t="s">
        <v>169</v>
      </c>
      <c r="B85" t="s">
        <v>170</v>
      </c>
      <c r="E85">
        <v>95</v>
      </c>
      <c r="J85">
        <v>94.9</v>
      </c>
    </row>
    <row r="86" spans="1:14" x14ac:dyDescent="0.25">
      <c r="A86" s="4" t="s">
        <v>171</v>
      </c>
      <c r="B86" t="s">
        <v>172</v>
      </c>
      <c r="F86">
        <v>87.3</v>
      </c>
      <c r="M86">
        <v>80.7</v>
      </c>
    </row>
    <row r="87" spans="1:14" x14ac:dyDescent="0.25">
      <c r="A87" s="4" t="s">
        <v>173</v>
      </c>
      <c r="B87" t="s">
        <v>174</v>
      </c>
      <c r="E87">
        <v>96.1</v>
      </c>
      <c r="M87">
        <v>93.8</v>
      </c>
    </row>
    <row r="88" spans="1:14" x14ac:dyDescent="0.25">
      <c r="A88" s="4" t="s">
        <v>175</v>
      </c>
      <c r="B88" t="s">
        <v>176</v>
      </c>
    </row>
    <row r="89" spans="1:14" x14ac:dyDescent="0.25">
      <c r="A89" s="4" t="s">
        <v>177</v>
      </c>
      <c r="B89" t="s">
        <v>178</v>
      </c>
      <c r="C89">
        <v>2.5</v>
      </c>
      <c r="F89">
        <v>1.6</v>
      </c>
      <c r="G89">
        <v>1.7</v>
      </c>
      <c r="H89">
        <v>1.6</v>
      </c>
      <c r="I89">
        <v>1.9</v>
      </c>
      <c r="J89">
        <v>1.7</v>
      </c>
      <c r="K89">
        <v>1.2</v>
      </c>
      <c r="L89">
        <v>1.5</v>
      </c>
      <c r="M89">
        <v>2.4</v>
      </c>
      <c r="N89">
        <v>4.8</v>
      </c>
    </row>
    <row r="90" spans="1:14" x14ac:dyDescent="0.25">
      <c r="A90" s="4" t="s">
        <v>179</v>
      </c>
      <c r="B90" t="s">
        <v>180</v>
      </c>
    </row>
    <row r="91" spans="1:14" x14ac:dyDescent="0.25">
      <c r="A91" s="4" t="s">
        <v>181</v>
      </c>
      <c r="B91" t="s">
        <v>182</v>
      </c>
    </row>
    <row r="92" spans="1:14" x14ac:dyDescent="0.25">
      <c r="A92" s="4" t="s">
        <v>183</v>
      </c>
      <c r="B92" t="s">
        <v>184</v>
      </c>
      <c r="C92">
        <v>45.1</v>
      </c>
      <c r="I92">
        <v>43.7</v>
      </c>
    </row>
    <row r="93" spans="1:14" x14ac:dyDescent="0.25">
      <c r="A93" s="4" t="s">
        <v>185</v>
      </c>
      <c r="B93" t="s">
        <v>186</v>
      </c>
    </row>
    <row r="94" spans="1:14" x14ac:dyDescent="0.25">
      <c r="A94" s="4" t="s">
        <v>187</v>
      </c>
      <c r="B94" t="s">
        <v>188</v>
      </c>
    </row>
    <row r="95" spans="1:14" x14ac:dyDescent="0.25">
      <c r="A95" s="4" t="s">
        <v>189</v>
      </c>
      <c r="B95" t="s">
        <v>190</v>
      </c>
      <c r="C95">
        <v>3.7</v>
      </c>
      <c r="D95">
        <v>3.6</v>
      </c>
      <c r="E95">
        <v>3.5</v>
      </c>
      <c r="F95">
        <v>3.3</v>
      </c>
      <c r="G95">
        <v>3</v>
      </c>
      <c r="H95">
        <v>2.9</v>
      </c>
      <c r="I95">
        <v>2.6</v>
      </c>
      <c r="J95">
        <v>2.2999999999999998</v>
      </c>
      <c r="K95">
        <v>2</v>
      </c>
      <c r="L95">
        <v>2</v>
      </c>
      <c r="M95">
        <v>2</v>
      </c>
      <c r="N95">
        <v>2</v>
      </c>
    </row>
    <row r="96" spans="1:14" x14ac:dyDescent="0.25">
      <c r="A96" s="4" t="s">
        <v>191</v>
      </c>
      <c r="B96" t="s">
        <v>192</v>
      </c>
    </row>
    <row r="97" spans="1:14" x14ac:dyDescent="0.25">
      <c r="A97" s="4" t="s">
        <v>193</v>
      </c>
      <c r="B97" t="s">
        <v>194</v>
      </c>
      <c r="D97">
        <v>55.8</v>
      </c>
      <c r="E97">
        <v>61</v>
      </c>
      <c r="F97">
        <v>64.400000000000006</v>
      </c>
      <c r="G97">
        <v>63.9</v>
      </c>
      <c r="H97">
        <v>61.4</v>
      </c>
      <c r="I97">
        <v>55.9</v>
      </c>
      <c r="J97">
        <v>53.5</v>
      </c>
      <c r="K97">
        <v>50.7</v>
      </c>
      <c r="L97">
        <v>47.6</v>
      </c>
      <c r="M97">
        <v>50.6</v>
      </c>
      <c r="N97">
        <v>53.2</v>
      </c>
    </row>
    <row r="98" spans="1:14" x14ac:dyDescent="0.25">
      <c r="A98" s="4" t="s">
        <v>195</v>
      </c>
      <c r="B98" t="s">
        <v>196</v>
      </c>
    </row>
    <row r="99" spans="1:14" x14ac:dyDescent="0.25">
      <c r="A99" s="4" t="s">
        <v>197</v>
      </c>
      <c r="B99" t="s">
        <v>198</v>
      </c>
      <c r="L99">
        <v>4.5</v>
      </c>
      <c r="M99">
        <v>5.8</v>
      </c>
      <c r="N99">
        <v>6.9</v>
      </c>
    </row>
    <row r="100" spans="1:14" x14ac:dyDescent="0.25">
      <c r="A100" s="4" t="s">
        <v>199</v>
      </c>
      <c r="B100" t="s">
        <v>200</v>
      </c>
    </row>
    <row r="101" spans="1:14" x14ac:dyDescent="0.25">
      <c r="A101" s="4" t="s">
        <v>201</v>
      </c>
      <c r="B101" t="s">
        <v>202</v>
      </c>
      <c r="G101">
        <v>2.9</v>
      </c>
      <c r="H101">
        <v>4.5</v>
      </c>
      <c r="I101">
        <v>1.9</v>
      </c>
      <c r="J101">
        <v>1.8</v>
      </c>
      <c r="K101">
        <v>1.5</v>
      </c>
      <c r="L101">
        <v>1.4</v>
      </c>
      <c r="M101">
        <v>2.5</v>
      </c>
      <c r="N101">
        <v>2.8</v>
      </c>
    </row>
    <row r="102" spans="1:14" x14ac:dyDescent="0.25">
      <c r="A102" s="4" t="s">
        <v>203</v>
      </c>
      <c r="B102" t="s">
        <v>204</v>
      </c>
    </row>
    <row r="103" spans="1:14" x14ac:dyDescent="0.25">
      <c r="A103" s="4" t="s">
        <v>205</v>
      </c>
      <c r="B103" t="s">
        <v>206</v>
      </c>
    </row>
    <row r="104" spans="1:14" x14ac:dyDescent="0.25">
      <c r="A104" s="4" t="s">
        <v>207</v>
      </c>
      <c r="B104" t="s">
        <v>208</v>
      </c>
      <c r="C104">
        <v>91.4</v>
      </c>
      <c r="D104">
        <v>91.5</v>
      </c>
      <c r="E104">
        <v>91.5</v>
      </c>
      <c r="F104">
        <v>91.4</v>
      </c>
      <c r="G104">
        <v>90.6</v>
      </c>
      <c r="H104">
        <v>89.7</v>
      </c>
      <c r="I104">
        <v>89.2</v>
      </c>
      <c r="J104">
        <v>88.5</v>
      </c>
      <c r="K104">
        <v>87.8</v>
      </c>
      <c r="L104">
        <v>87.5</v>
      </c>
      <c r="M104">
        <v>86.8</v>
      </c>
      <c r="N104">
        <v>86.2</v>
      </c>
    </row>
    <row r="105" spans="1:14" x14ac:dyDescent="0.25">
      <c r="A105" s="4" t="s">
        <v>209</v>
      </c>
      <c r="B105" t="s">
        <v>210</v>
      </c>
    </row>
    <row r="106" spans="1:14" x14ac:dyDescent="0.25">
      <c r="A106" s="4" t="s">
        <v>211</v>
      </c>
      <c r="B106" t="s">
        <v>212</v>
      </c>
      <c r="C106">
        <v>95.1</v>
      </c>
      <c r="D106">
        <v>94</v>
      </c>
      <c r="E106">
        <v>88.6</v>
      </c>
      <c r="F106">
        <v>87</v>
      </c>
      <c r="G106">
        <v>87</v>
      </c>
      <c r="H106">
        <v>85.9</v>
      </c>
      <c r="I106">
        <v>87.9</v>
      </c>
      <c r="J106">
        <v>83</v>
      </c>
      <c r="K106">
        <v>83.2</v>
      </c>
      <c r="L106">
        <v>81.900000000000006</v>
      </c>
      <c r="M106">
        <v>75.5</v>
      </c>
      <c r="N106">
        <v>72.2</v>
      </c>
    </row>
    <row r="107" spans="1:14" x14ac:dyDescent="0.25">
      <c r="A107" s="4" t="s">
        <v>213</v>
      </c>
      <c r="B107" t="s">
        <v>214</v>
      </c>
    </row>
    <row r="108" spans="1:14" x14ac:dyDescent="0.25">
      <c r="A108" s="4" t="s">
        <v>215</v>
      </c>
      <c r="B108" t="s">
        <v>216</v>
      </c>
    </row>
    <row r="109" spans="1:14" x14ac:dyDescent="0.25">
      <c r="A109" s="4" t="s">
        <v>217</v>
      </c>
      <c r="B109" t="s">
        <v>218</v>
      </c>
      <c r="G109">
        <v>92.9</v>
      </c>
      <c r="L109">
        <v>91.1</v>
      </c>
      <c r="N109">
        <v>87.4</v>
      </c>
    </row>
    <row r="110" spans="1:14" x14ac:dyDescent="0.25">
      <c r="A110" s="4" t="s">
        <v>219</v>
      </c>
      <c r="B110" t="s">
        <v>220</v>
      </c>
    </row>
    <row r="111" spans="1:14" x14ac:dyDescent="0.25">
      <c r="A111" s="4" t="s">
        <v>221</v>
      </c>
      <c r="B111" t="s">
        <v>222</v>
      </c>
      <c r="C111">
        <v>0.5</v>
      </c>
      <c r="F111">
        <v>0.4</v>
      </c>
      <c r="G111">
        <v>0.3</v>
      </c>
      <c r="H111">
        <v>0.2</v>
      </c>
      <c r="I111">
        <v>0.6</v>
      </c>
      <c r="J111">
        <v>0.4</v>
      </c>
      <c r="K111">
        <v>0.6</v>
      </c>
      <c r="L111">
        <v>1.2</v>
      </c>
      <c r="M111">
        <v>1.5</v>
      </c>
      <c r="N111">
        <v>1.2</v>
      </c>
    </row>
    <row r="112" spans="1:14" x14ac:dyDescent="0.25">
      <c r="A112" s="4" t="s">
        <v>223</v>
      </c>
      <c r="B112" t="s">
        <v>224</v>
      </c>
      <c r="H112">
        <v>15.6</v>
      </c>
      <c r="I112">
        <v>16.5</v>
      </c>
      <c r="L112">
        <v>14.9</v>
      </c>
    </row>
    <row r="113" spans="1:14" x14ac:dyDescent="0.25">
      <c r="A113" s="4" t="s">
        <v>225</v>
      </c>
      <c r="B113" t="s">
        <v>226</v>
      </c>
      <c r="I113">
        <v>57</v>
      </c>
    </row>
    <row r="114" spans="1:14" x14ac:dyDescent="0.25">
      <c r="A114" s="4" t="s">
        <v>227</v>
      </c>
      <c r="B114" t="s">
        <v>228</v>
      </c>
      <c r="F114">
        <v>0.3</v>
      </c>
      <c r="G114">
        <v>0.4</v>
      </c>
      <c r="H114">
        <v>0.2</v>
      </c>
      <c r="I114">
        <v>0.3</v>
      </c>
      <c r="J114">
        <v>0.2</v>
      </c>
      <c r="K114">
        <v>0.1</v>
      </c>
      <c r="L114">
        <v>0.2</v>
      </c>
      <c r="M114">
        <v>0.2</v>
      </c>
      <c r="N114">
        <v>0.5</v>
      </c>
    </row>
    <row r="115" spans="1:14" x14ac:dyDescent="0.25">
      <c r="A115" s="4" t="s">
        <v>229</v>
      </c>
      <c r="B115" t="s">
        <v>230</v>
      </c>
      <c r="D115">
        <v>2.5</v>
      </c>
      <c r="H115">
        <v>6</v>
      </c>
      <c r="J115">
        <v>4.7</v>
      </c>
      <c r="M115">
        <v>4.2</v>
      </c>
    </row>
    <row r="116" spans="1:14" x14ac:dyDescent="0.25">
      <c r="A116" s="4" t="s">
        <v>231</v>
      </c>
      <c r="B116" t="s">
        <v>232</v>
      </c>
      <c r="C116">
        <v>3</v>
      </c>
      <c r="F116">
        <v>1.8</v>
      </c>
      <c r="G116">
        <v>1.5</v>
      </c>
      <c r="H116">
        <v>1.7</v>
      </c>
      <c r="I116">
        <v>1.4</v>
      </c>
      <c r="J116">
        <v>1.6</v>
      </c>
      <c r="K116">
        <v>1.7</v>
      </c>
      <c r="L116">
        <v>1.8</v>
      </c>
      <c r="M116">
        <v>2.5</v>
      </c>
      <c r="N116">
        <v>2.4</v>
      </c>
    </row>
    <row r="117" spans="1:14" x14ac:dyDescent="0.25">
      <c r="A117" s="4" t="s">
        <v>233</v>
      </c>
      <c r="B117" t="s">
        <v>234</v>
      </c>
      <c r="E117">
        <v>33.6</v>
      </c>
      <c r="G117">
        <v>29.3</v>
      </c>
    </row>
    <row r="118" spans="1:14" x14ac:dyDescent="0.25">
      <c r="A118" s="4" t="s">
        <v>235</v>
      </c>
      <c r="B118" t="s">
        <v>236</v>
      </c>
      <c r="E118">
        <v>35.6</v>
      </c>
      <c r="I118">
        <v>24.4</v>
      </c>
      <c r="K118">
        <v>23</v>
      </c>
      <c r="M118">
        <v>17.5</v>
      </c>
    </row>
    <row r="119" spans="1:14" x14ac:dyDescent="0.25">
      <c r="A119" s="4" t="s">
        <v>237</v>
      </c>
      <c r="B119" t="s">
        <v>238</v>
      </c>
      <c r="K119">
        <v>1.4</v>
      </c>
      <c r="M119">
        <v>0.5</v>
      </c>
    </row>
    <row r="120" spans="1:14" x14ac:dyDescent="0.25">
      <c r="A120" s="4" t="s">
        <v>239</v>
      </c>
      <c r="B120" t="s">
        <v>240</v>
      </c>
      <c r="D120">
        <v>61.6</v>
      </c>
      <c r="E120">
        <v>58.6</v>
      </c>
      <c r="F120">
        <v>52.9</v>
      </c>
      <c r="G120">
        <v>48.1</v>
      </c>
      <c r="H120">
        <v>48.9</v>
      </c>
      <c r="I120">
        <v>30.7</v>
      </c>
      <c r="J120">
        <v>20.3</v>
      </c>
      <c r="K120">
        <v>18</v>
      </c>
      <c r="L120">
        <v>19</v>
      </c>
      <c r="M120">
        <v>14.6</v>
      </c>
      <c r="N120">
        <v>7</v>
      </c>
    </row>
    <row r="121" spans="1:14" x14ac:dyDescent="0.25">
      <c r="A121" s="4" t="s">
        <v>241</v>
      </c>
      <c r="B121" t="s">
        <v>242</v>
      </c>
      <c r="H121">
        <v>88.3</v>
      </c>
    </row>
    <row r="122" spans="1:14" x14ac:dyDescent="0.25">
      <c r="A122" s="4" t="s">
        <v>243</v>
      </c>
      <c r="B122" t="s">
        <v>244</v>
      </c>
      <c r="C122">
        <v>92.2</v>
      </c>
      <c r="D122">
        <v>93</v>
      </c>
      <c r="E122">
        <v>91.3</v>
      </c>
      <c r="F122">
        <v>91.2</v>
      </c>
      <c r="G122">
        <v>74</v>
      </c>
      <c r="H122">
        <v>79.900000000000006</v>
      </c>
      <c r="I122">
        <v>66.5</v>
      </c>
      <c r="J122">
        <v>66.900000000000006</v>
      </c>
      <c r="K122">
        <v>58.8</v>
      </c>
      <c r="L122">
        <v>57.8</v>
      </c>
      <c r="M122">
        <v>60.8</v>
      </c>
      <c r="N122">
        <v>60.2</v>
      </c>
    </row>
    <row r="123" spans="1:14" x14ac:dyDescent="0.25">
      <c r="A123" s="4" t="s">
        <v>245</v>
      </c>
      <c r="B123" t="s">
        <v>246</v>
      </c>
    </row>
    <row r="124" spans="1:14" x14ac:dyDescent="0.25">
      <c r="A124" s="4" t="s">
        <v>247</v>
      </c>
      <c r="B124" t="s">
        <v>248</v>
      </c>
      <c r="I124">
        <v>69.400000000000006</v>
      </c>
    </row>
    <row r="125" spans="1:14" x14ac:dyDescent="0.25">
      <c r="A125" s="4" t="s">
        <v>249</v>
      </c>
      <c r="B125" t="s">
        <v>250</v>
      </c>
    </row>
    <row r="126" spans="1:14" x14ac:dyDescent="0.25">
      <c r="A126" s="4" t="s">
        <v>251</v>
      </c>
      <c r="B126" t="s">
        <v>252</v>
      </c>
      <c r="I126">
        <v>1.2</v>
      </c>
      <c r="K126">
        <v>1.2</v>
      </c>
      <c r="M126">
        <v>1.5</v>
      </c>
    </row>
    <row r="127" spans="1:14" x14ac:dyDescent="0.25">
      <c r="A127" s="4" t="s">
        <v>253</v>
      </c>
      <c r="B127" t="s">
        <v>254</v>
      </c>
    </row>
    <row r="128" spans="1:14" x14ac:dyDescent="0.25">
      <c r="A128" s="4" t="s">
        <v>255</v>
      </c>
      <c r="B128" t="s">
        <v>256</v>
      </c>
    </row>
    <row r="129" spans="1:14" x14ac:dyDescent="0.25">
      <c r="A129" s="4" t="s">
        <v>257</v>
      </c>
      <c r="B129" t="s">
        <v>258</v>
      </c>
      <c r="E129">
        <v>91.8</v>
      </c>
      <c r="J129">
        <v>88.1</v>
      </c>
    </row>
    <row r="130" spans="1:14" x14ac:dyDescent="0.25">
      <c r="A130" s="4" t="s">
        <v>259</v>
      </c>
      <c r="B130" t="s">
        <v>260</v>
      </c>
      <c r="N130">
        <v>1.7</v>
      </c>
    </row>
    <row r="131" spans="1:14" x14ac:dyDescent="0.25">
      <c r="A131" s="4" t="s">
        <v>261</v>
      </c>
      <c r="B131" t="s">
        <v>262</v>
      </c>
      <c r="J131">
        <v>97.8</v>
      </c>
    </row>
    <row r="132" spans="1:14" x14ac:dyDescent="0.25">
      <c r="A132" s="4" t="s">
        <v>263</v>
      </c>
      <c r="B132" t="s">
        <v>264</v>
      </c>
    </row>
    <row r="133" spans="1:14" x14ac:dyDescent="0.25">
      <c r="A133" s="4" t="s">
        <v>265</v>
      </c>
      <c r="B133" t="s">
        <v>266</v>
      </c>
    </row>
    <row r="134" spans="1:14" x14ac:dyDescent="0.25">
      <c r="A134" s="4" t="s">
        <v>267</v>
      </c>
      <c r="B134" t="s">
        <v>268</v>
      </c>
      <c r="C134">
        <v>45.4</v>
      </c>
      <c r="D134">
        <v>45.3</v>
      </c>
      <c r="E134">
        <v>45.4</v>
      </c>
      <c r="F134">
        <v>44.8</v>
      </c>
      <c r="G134">
        <v>42.9</v>
      </c>
      <c r="H134">
        <v>41</v>
      </c>
      <c r="I134">
        <v>36.200000000000003</v>
      </c>
      <c r="J134">
        <v>34.6</v>
      </c>
      <c r="K134">
        <v>33.200000000000003</v>
      </c>
      <c r="L134">
        <v>32.9</v>
      </c>
      <c r="M134">
        <v>31.1</v>
      </c>
      <c r="N134">
        <v>29.5</v>
      </c>
    </row>
    <row r="135" spans="1:14" x14ac:dyDescent="0.25">
      <c r="A135" s="4" t="s">
        <v>269</v>
      </c>
      <c r="B135" t="s">
        <v>270</v>
      </c>
    </row>
    <row r="136" spans="1:14" x14ac:dyDescent="0.25">
      <c r="A136" s="4" t="s">
        <v>271</v>
      </c>
      <c r="B136" t="s">
        <v>272</v>
      </c>
      <c r="C136">
        <v>92.5</v>
      </c>
      <c r="D136">
        <v>92.3</v>
      </c>
      <c r="E136">
        <v>92.2</v>
      </c>
      <c r="F136">
        <v>92.2</v>
      </c>
      <c r="G136">
        <v>91.6</v>
      </c>
      <c r="H136">
        <v>91.1</v>
      </c>
      <c r="I136">
        <v>90.6</v>
      </c>
      <c r="J136">
        <v>90</v>
      </c>
      <c r="K136">
        <v>89.3</v>
      </c>
      <c r="L136">
        <v>89</v>
      </c>
      <c r="M136">
        <v>88.8</v>
      </c>
      <c r="N136">
        <v>89</v>
      </c>
    </row>
    <row r="137" spans="1:14" x14ac:dyDescent="0.25">
      <c r="A137" s="4" t="s">
        <v>273</v>
      </c>
      <c r="B137" t="s">
        <v>274</v>
      </c>
    </row>
    <row r="138" spans="1:14" x14ac:dyDescent="0.25">
      <c r="A138" s="4" t="s">
        <v>275</v>
      </c>
      <c r="B138" t="s">
        <v>276</v>
      </c>
      <c r="E138">
        <v>68.900000000000006</v>
      </c>
      <c r="I138">
        <v>59.3</v>
      </c>
      <c r="L138">
        <v>57</v>
      </c>
    </row>
    <row r="139" spans="1:14" x14ac:dyDescent="0.25">
      <c r="A139" s="4" t="s">
        <v>277</v>
      </c>
      <c r="B139" t="s">
        <v>278</v>
      </c>
      <c r="E139">
        <v>88.2</v>
      </c>
      <c r="F139">
        <v>87.5</v>
      </c>
      <c r="G139">
        <v>86.9</v>
      </c>
      <c r="H139">
        <v>86.1</v>
      </c>
      <c r="I139">
        <v>85.3</v>
      </c>
      <c r="J139">
        <v>84.8</v>
      </c>
      <c r="K139">
        <v>84.2</v>
      </c>
      <c r="L139">
        <v>83.4</v>
      </c>
      <c r="M139">
        <v>81.599999999999994</v>
      </c>
      <c r="N139">
        <v>79.900000000000006</v>
      </c>
    </row>
    <row r="140" spans="1:14" x14ac:dyDescent="0.25">
      <c r="A140" s="4" t="s">
        <v>279</v>
      </c>
      <c r="B140" t="s">
        <v>280</v>
      </c>
      <c r="C140">
        <v>79.599999999999994</v>
      </c>
      <c r="D140">
        <v>78.7</v>
      </c>
      <c r="E140">
        <v>77.3</v>
      </c>
      <c r="F140">
        <v>76.3</v>
      </c>
      <c r="G140">
        <v>74.7</v>
      </c>
      <c r="H140">
        <v>72.599999999999994</v>
      </c>
      <c r="I140">
        <v>71</v>
      </c>
      <c r="J140">
        <v>69.2</v>
      </c>
      <c r="K140">
        <v>68</v>
      </c>
      <c r="L140">
        <v>66.7</v>
      </c>
      <c r="M140">
        <v>64.5</v>
      </c>
      <c r="N140">
        <v>62.4</v>
      </c>
    </row>
    <row r="141" spans="1:14" x14ac:dyDescent="0.25">
      <c r="A141" s="4" t="s">
        <v>281</v>
      </c>
      <c r="B141" t="s">
        <v>282</v>
      </c>
      <c r="E141">
        <v>92.2</v>
      </c>
    </row>
    <row r="142" spans="1:14" x14ac:dyDescent="0.25">
      <c r="A142" s="4" t="s">
        <v>283</v>
      </c>
      <c r="B142" t="s">
        <v>284</v>
      </c>
    </row>
    <row r="143" spans="1:14" x14ac:dyDescent="0.25">
      <c r="A143" s="4" t="s">
        <v>285</v>
      </c>
      <c r="B143" t="s">
        <v>286</v>
      </c>
      <c r="G143">
        <v>18.7</v>
      </c>
      <c r="H143">
        <v>12.1</v>
      </c>
      <c r="I143">
        <v>7.1</v>
      </c>
      <c r="J143">
        <v>4.3</v>
      </c>
      <c r="K143">
        <v>4.5</v>
      </c>
      <c r="L143">
        <v>8.9</v>
      </c>
      <c r="M143">
        <v>8.1999999999999993</v>
      </c>
      <c r="N143">
        <v>5.3</v>
      </c>
    </row>
    <row r="144" spans="1:14" x14ac:dyDescent="0.25">
      <c r="A144" s="4" t="s">
        <v>287</v>
      </c>
      <c r="B144" t="s">
        <v>288</v>
      </c>
      <c r="C144">
        <v>0</v>
      </c>
      <c r="F144">
        <v>0.5</v>
      </c>
      <c r="G144">
        <v>0.1</v>
      </c>
      <c r="H144">
        <v>0.1</v>
      </c>
      <c r="I144">
        <v>0</v>
      </c>
      <c r="J144">
        <v>0</v>
      </c>
      <c r="K144">
        <v>0</v>
      </c>
      <c r="L144">
        <v>0.2</v>
      </c>
      <c r="M144">
        <v>0.1</v>
      </c>
      <c r="N144">
        <v>0.2</v>
      </c>
    </row>
    <row r="145" spans="1:14" x14ac:dyDescent="0.25">
      <c r="A145" s="4" t="s">
        <v>289</v>
      </c>
      <c r="B145" t="s">
        <v>290</v>
      </c>
      <c r="G145">
        <v>15.2</v>
      </c>
      <c r="H145">
        <v>14</v>
      </c>
      <c r="I145">
        <v>7.7</v>
      </c>
      <c r="J145">
        <v>4.9000000000000004</v>
      </c>
      <c r="K145">
        <v>6.1</v>
      </c>
      <c r="L145">
        <v>9.5</v>
      </c>
      <c r="M145">
        <v>9.5</v>
      </c>
      <c r="N145">
        <v>8.6999999999999993</v>
      </c>
    </row>
    <row r="146" spans="1:14" x14ac:dyDescent="0.25">
      <c r="A146" s="4" t="s">
        <v>291</v>
      </c>
      <c r="B146" t="s">
        <v>292</v>
      </c>
    </row>
    <row r="147" spans="1:14" x14ac:dyDescent="0.25">
      <c r="A147" s="4" t="s">
        <v>293</v>
      </c>
      <c r="B147" t="s">
        <v>294</v>
      </c>
    </row>
    <row r="148" spans="1:14" x14ac:dyDescent="0.25">
      <c r="A148" s="4" t="s">
        <v>295</v>
      </c>
      <c r="B148" t="s">
        <v>296</v>
      </c>
      <c r="C148">
        <v>58.9</v>
      </c>
      <c r="I148">
        <v>47</v>
      </c>
    </row>
    <row r="149" spans="1:14" x14ac:dyDescent="0.25">
      <c r="A149" s="4" t="s">
        <v>297</v>
      </c>
      <c r="B149" t="s">
        <v>298</v>
      </c>
    </row>
    <row r="150" spans="1:14" x14ac:dyDescent="0.25">
      <c r="A150" s="4" t="s">
        <v>299</v>
      </c>
      <c r="B150" t="s">
        <v>300</v>
      </c>
      <c r="C150">
        <v>90.1</v>
      </c>
      <c r="D150">
        <v>85</v>
      </c>
      <c r="E150">
        <v>75.5</v>
      </c>
      <c r="F150">
        <v>67.8</v>
      </c>
      <c r="G150">
        <v>68.5</v>
      </c>
      <c r="H150">
        <v>73.900000000000006</v>
      </c>
      <c r="I150">
        <v>39.9</v>
      </c>
      <c r="J150">
        <v>31</v>
      </c>
      <c r="K150">
        <v>32.4</v>
      </c>
      <c r="L150">
        <v>31</v>
      </c>
      <c r="M150">
        <v>28.3</v>
      </c>
      <c r="N150">
        <v>25</v>
      </c>
    </row>
    <row r="151" spans="1:14" x14ac:dyDescent="0.25">
      <c r="A151" s="4" t="s">
        <v>301</v>
      </c>
      <c r="B151" t="s">
        <v>302</v>
      </c>
      <c r="D151">
        <v>94.3</v>
      </c>
      <c r="H151">
        <v>97</v>
      </c>
      <c r="M151">
        <v>97.5</v>
      </c>
    </row>
    <row r="152" spans="1:14" x14ac:dyDescent="0.25">
      <c r="A152" s="4" t="s">
        <v>303</v>
      </c>
      <c r="B152" t="s">
        <v>304</v>
      </c>
      <c r="E152">
        <v>62.7</v>
      </c>
      <c r="L152">
        <v>42.7</v>
      </c>
    </row>
    <row r="153" spans="1:14" x14ac:dyDescent="0.25">
      <c r="A153" s="4" t="s">
        <v>305</v>
      </c>
      <c r="B153" t="s">
        <v>306</v>
      </c>
      <c r="C153">
        <v>54.2</v>
      </c>
      <c r="D153">
        <v>53</v>
      </c>
      <c r="E153">
        <v>52.9</v>
      </c>
      <c r="F153">
        <v>54</v>
      </c>
      <c r="G153">
        <v>51.7</v>
      </c>
      <c r="H153">
        <v>49.6</v>
      </c>
      <c r="I153">
        <v>48.8</v>
      </c>
      <c r="J153">
        <v>47.4</v>
      </c>
      <c r="K153">
        <v>46.7</v>
      </c>
      <c r="L153">
        <v>45.1</v>
      </c>
      <c r="M153">
        <v>43.1</v>
      </c>
      <c r="N153">
        <v>42.1</v>
      </c>
    </row>
    <row r="154" spans="1:14" x14ac:dyDescent="0.25">
      <c r="A154" s="4" t="s">
        <v>307</v>
      </c>
      <c r="B154" t="s">
        <v>308</v>
      </c>
      <c r="C154">
        <v>43.8</v>
      </c>
      <c r="E154">
        <v>40.6</v>
      </c>
      <c r="G154">
        <v>37.4</v>
      </c>
      <c r="H154">
        <v>36.700000000000003</v>
      </c>
      <c r="I154">
        <v>33.1</v>
      </c>
      <c r="K154">
        <v>33.4</v>
      </c>
      <c r="M154">
        <v>33.299999999999997</v>
      </c>
    </row>
    <row r="155" spans="1:14" x14ac:dyDescent="0.25">
      <c r="A155" s="4" t="s">
        <v>309</v>
      </c>
      <c r="B155" t="s">
        <v>310</v>
      </c>
    </row>
    <row r="156" spans="1:14" x14ac:dyDescent="0.25">
      <c r="A156" s="4" t="s">
        <v>311</v>
      </c>
      <c r="B156" t="s">
        <v>312</v>
      </c>
    </row>
    <row r="157" spans="1:14" x14ac:dyDescent="0.25">
      <c r="A157" s="4" t="s">
        <v>313</v>
      </c>
      <c r="B157" t="s">
        <v>314</v>
      </c>
      <c r="L157">
        <v>35.700000000000003</v>
      </c>
      <c r="M157">
        <v>34.1</v>
      </c>
      <c r="N157">
        <v>32.200000000000003</v>
      </c>
    </row>
    <row r="158" spans="1:14" x14ac:dyDescent="0.25">
      <c r="A158" s="4" t="s">
        <v>315</v>
      </c>
      <c r="B158" t="s">
        <v>316</v>
      </c>
      <c r="D158">
        <v>95.1</v>
      </c>
      <c r="I158">
        <v>92.4</v>
      </c>
      <c r="L158">
        <v>95</v>
      </c>
    </row>
    <row r="159" spans="1:14" x14ac:dyDescent="0.25">
      <c r="A159" s="4" t="s">
        <v>317</v>
      </c>
      <c r="B159" t="s">
        <v>318</v>
      </c>
      <c r="I159">
        <v>0.8</v>
      </c>
      <c r="J159">
        <v>1</v>
      </c>
      <c r="K159">
        <v>0.5</v>
      </c>
      <c r="L159">
        <v>0.8</v>
      </c>
      <c r="M159">
        <v>0.5</v>
      </c>
      <c r="N159">
        <v>0.5</v>
      </c>
    </row>
    <row r="160" spans="1:14" x14ac:dyDescent="0.25">
      <c r="A160" s="4" t="s">
        <v>319</v>
      </c>
      <c r="B160" t="s">
        <v>320</v>
      </c>
    </row>
    <row r="161" spans="1:14" x14ac:dyDescent="0.25">
      <c r="A161" s="4" t="s">
        <v>321</v>
      </c>
      <c r="B161" t="s">
        <v>322</v>
      </c>
    </row>
    <row r="162" spans="1:14" x14ac:dyDescent="0.25">
      <c r="A162" s="4" t="s">
        <v>323</v>
      </c>
      <c r="B162" t="s">
        <v>324</v>
      </c>
    </row>
    <row r="163" spans="1:14" x14ac:dyDescent="0.25">
      <c r="A163" s="4" t="s">
        <v>325</v>
      </c>
      <c r="B163" t="s">
        <v>326</v>
      </c>
      <c r="E163">
        <v>67.2</v>
      </c>
      <c r="J163">
        <v>40.200000000000003</v>
      </c>
      <c r="M163">
        <v>37.4</v>
      </c>
      <c r="N163">
        <v>31.9</v>
      </c>
    </row>
    <row r="164" spans="1:14" x14ac:dyDescent="0.25">
      <c r="A164" s="4" t="s">
        <v>327</v>
      </c>
      <c r="B164" t="s">
        <v>328</v>
      </c>
    </row>
    <row r="165" spans="1:14" x14ac:dyDescent="0.25">
      <c r="A165" s="4" t="s">
        <v>329</v>
      </c>
      <c r="B165" t="s">
        <v>330</v>
      </c>
      <c r="E165">
        <v>96.8</v>
      </c>
      <c r="K165">
        <v>96.3</v>
      </c>
    </row>
    <row r="166" spans="1:14" x14ac:dyDescent="0.25">
      <c r="A166" s="4" t="s">
        <v>331</v>
      </c>
      <c r="B166" t="s">
        <v>332</v>
      </c>
      <c r="C166">
        <v>74.599999999999994</v>
      </c>
      <c r="G166">
        <v>75</v>
      </c>
      <c r="K166">
        <v>64.7</v>
      </c>
    </row>
    <row r="167" spans="1:14" x14ac:dyDescent="0.25">
      <c r="A167" s="4" t="s">
        <v>333</v>
      </c>
      <c r="B167" t="s">
        <v>334</v>
      </c>
      <c r="I167">
        <v>21.1</v>
      </c>
    </row>
    <row r="168" spans="1:14" x14ac:dyDescent="0.25">
      <c r="A168" s="4" t="s">
        <v>335</v>
      </c>
      <c r="B168" t="s">
        <v>336</v>
      </c>
      <c r="G168">
        <v>97.1</v>
      </c>
      <c r="M168">
        <v>96.2</v>
      </c>
    </row>
    <row r="169" spans="1:14" x14ac:dyDescent="0.25">
      <c r="A169" s="4" t="s">
        <v>337</v>
      </c>
      <c r="B169" t="s">
        <v>338</v>
      </c>
      <c r="G169">
        <v>12.1</v>
      </c>
      <c r="J169">
        <v>14.3</v>
      </c>
      <c r="K169">
        <v>16.7</v>
      </c>
      <c r="N169">
        <v>8.6</v>
      </c>
    </row>
    <row r="170" spans="1:14" x14ac:dyDescent="0.25">
      <c r="A170" s="4" t="s">
        <v>339</v>
      </c>
      <c r="B170" t="s">
        <v>340</v>
      </c>
    </row>
    <row r="171" spans="1:14" x14ac:dyDescent="0.25">
      <c r="A171" s="4" t="s">
        <v>341</v>
      </c>
      <c r="B171" t="s">
        <v>342</v>
      </c>
      <c r="F171">
        <v>73.8</v>
      </c>
      <c r="L171">
        <v>68</v>
      </c>
    </row>
    <row r="172" spans="1:14" x14ac:dyDescent="0.25">
      <c r="A172" s="4" t="s">
        <v>343</v>
      </c>
      <c r="B172" t="s">
        <v>344</v>
      </c>
    </row>
    <row r="173" spans="1:14" x14ac:dyDescent="0.25">
      <c r="A173" s="4" t="s">
        <v>345</v>
      </c>
      <c r="B173" t="s">
        <v>346</v>
      </c>
      <c r="H173">
        <v>97.1</v>
      </c>
      <c r="J173">
        <v>96.8</v>
      </c>
      <c r="N173">
        <v>95.8</v>
      </c>
    </row>
    <row r="174" spans="1:14" x14ac:dyDescent="0.25">
      <c r="A174" s="4" t="s">
        <v>347</v>
      </c>
      <c r="B174" t="s">
        <v>348</v>
      </c>
      <c r="F174">
        <v>94.9</v>
      </c>
      <c r="L174">
        <v>92.9</v>
      </c>
    </row>
    <row r="175" spans="1:14" x14ac:dyDescent="0.25">
      <c r="A175" s="4" t="s">
        <v>349</v>
      </c>
      <c r="B175" t="s">
        <v>350</v>
      </c>
      <c r="D175">
        <v>63.3</v>
      </c>
      <c r="H175">
        <v>54.4</v>
      </c>
      <c r="L175">
        <v>50.2</v>
      </c>
    </row>
    <row r="176" spans="1:14" x14ac:dyDescent="0.25">
      <c r="A176" s="4" t="s">
        <v>351</v>
      </c>
      <c r="B176" t="s">
        <v>352</v>
      </c>
      <c r="G176">
        <v>0.8</v>
      </c>
      <c r="H176">
        <v>0.4</v>
      </c>
      <c r="I176">
        <v>0.2</v>
      </c>
      <c r="J176">
        <v>0.3</v>
      </c>
      <c r="K176">
        <v>0.5</v>
      </c>
      <c r="L176">
        <v>0.3</v>
      </c>
      <c r="M176">
        <v>0.2</v>
      </c>
      <c r="N176">
        <v>0.3</v>
      </c>
    </row>
    <row r="177" spans="1:14" x14ac:dyDescent="0.25">
      <c r="A177" s="4" t="s">
        <v>353</v>
      </c>
      <c r="B177" t="s">
        <v>354</v>
      </c>
      <c r="C177">
        <v>0.5</v>
      </c>
      <c r="F177">
        <v>0.3</v>
      </c>
      <c r="G177">
        <v>0.5</v>
      </c>
      <c r="H177">
        <v>0.4</v>
      </c>
      <c r="I177">
        <v>0.5</v>
      </c>
      <c r="J177">
        <v>0.4</v>
      </c>
      <c r="K177">
        <v>0.4</v>
      </c>
      <c r="L177">
        <v>0.2</v>
      </c>
      <c r="M177">
        <v>0.3</v>
      </c>
      <c r="N177">
        <v>0.2</v>
      </c>
    </row>
    <row r="178" spans="1:14" x14ac:dyDescent="0.25">
      <c r="A178" s="4" t="s">
        <v>355</v>
      </c>
      <c r="B178" t="s">
        <v>356</v>
      </c>
      <c r="F178">
        <v>90.9</v>
      </c>
      <c r="M178">
        <v>83</v>
      </c>
    </row>
    <row r="179" spans="1:14" x14ac:dyDescent="0.25">
      <c r="A179" s="4" t="s">
        <v>357</v>
      </c>
      <c r="B179" t="s">
        <v>358</v>
      </c>
    </row>
    <row r="180" spans="1:14" x14ac:dyDescent="0.25">
      <c r="A180" s="4" t="s">
        <v>359</v>
      </c>
      <c r="B180" t="s">
        <v>360</v>
      </c>
    </row>
    <row r="181" spans="1:14" x14ac:dyDescent="0.25">
      <c r="A181" s="4" t="s">
        <v>361</v>
      </c>
      <c r="B181" t="s">
        <v>362</v>
      </c>
    </row>
    <row r="182" spans="1:14" x14ac:dyDescent="0.25">
      <c r="A182" s="4" t="s">
        <v>363</v>
      </c>
      <c r="B182" t="s">
        <v>364</v>
      </c>
    </row>
    <row r="183" spans="1:14" x14ac:dyDescent="0.25">
      <c r="A183" s="4" t="s">
        <v>365</v>
      </c>
      <c r="B183" t="s">
        <v>366</v>
      </c>
    </row>
    <row r="184" spans="1:14" x14ac:dyDescent="0.25">
      <c r="A184" s="4" t="s">
        <v>367</v>
      </c>
      <c r="B184" t="s">
        <v>368</v>
      </c>
      <c r="D184">
        <v>93.2</v>
      </c>
      <c r="G184">
        <v>87.6</v>
      </c>
      <c r="H184">
        <v>87.9</v>
      </c>
      <c r="J184">
        <v>86.2</v>
      </c>
      <c r="M184">
        <v>85.1</v>
      </c>
      <c r="N184">
        <v>83.6</v>
      </c>
    </row>
    <row r="185" spans="1:14" x14ac:dyDescent="0.25">
      <c r="A185" s="4" t="s">
        <v>369</v>
      </c>
      <c r="B185" t="s">
        <v>370</v>
      </c>
      <c r="C185">
        <v>35.4</v>
      </c>
      <c r="D185">
        <v>40.299999999999997</v>
      </c>
      <c r="E185">
        <v>37.5</v>
      </c>
      <c r="F185">
        <v>36</v>
      </c>
      <c r="G185">
        <v>34.799999999999997</v>
      </c>
      <c r="H185">
        <v>34.700000000000003</v>
      </c>
      <c r="I185">
        <v>34</v>
      </c>
      <c r="J185">
        <v>30.6</v>
      </c>
      <c r="K185">
        <v>23.3</v>
      </c>
      <c r="L185">
        <v>23</v>
      </c>
      <c r="M185">
        <v>21.8</v>
      </c>
      <c r="N185">
        <v>18.5</v>
      </c>
    </row>
    <row r="186" spans="1:14" x14ac:dyDescent="0.25">
      <c r="A186" s="4" t="s">
        <v>371</v>
      </c>
      <c r="B186" t="s">
        <v>372</v>
      </c>
      <c r="C186">
        <v>52.6</v>
      </c>
      <c r="D186">
        <v>55.3</v>
      </c>
      <c r="E186">
        <v>50.7</v>
      </c>
      <c r="F186">
        <v>50.1</v>
      </c>
      <c r="G186">
        <v>50</v>
      </c>
      <c r="H186">
        <v>52.5</v>
      </c>
      <c r="I186">
        <v>46.6</v>
      </c>
      <c r="J186">
        <v>41.3</v>
      </c>
      <c r="K186">
        <v>37.6</v>
      </c>
      <c r="L186">
        <v>35.6</v>
      </c>
      <c r="M186">
        <v>31.5</v>
      </c>
      <c r="N186">
        <v>29.5</v>
      </c>
    </row>
    <row r="187" spans="1:14" x14ac:dyDescent="0.25">
      <c r="A187" s="4" t="s">
        <v>373</v>
      </c>
      <c r="B187" t="s">
        <v>374</v>
      </c>
      <c r="C187">
        <v>64</v>
      </c>
      <c r="F187">
        <v>62.9</v>
      </c>
      <c r="I187">
        <v>63.4</v>
      </c>
      <c r="L187">
        <v>61.1</v>
      </c>
    </row>
    <row r="188" spans="1:14" x14ac:dyDescent="0.25">
      <c r="A188" s="4" t="s">
        <v>375</v>
      </c>
      <c r="B188" t="s">
        <v>376</v>
      </c>
    </row>
    <row r="189" spans="1:14" x14ac:dyDescent="0.25">
      <c r="A189" s="4" t="s">
        <v>377</v>
      </c>
      <c r="B189" t="s">
        <v>378</v>
      </c>
      <c r="L189">
        <v>86.9</v>
      </c>
    </row>
    <row r="190" spans="1:14" x14ac:dyDescent="0.25">
      <c r="A190" s="4" t="s">
        <v>379</v>
      </c>
      <c r="B190" t="s">
        <v>380</v>
      </c>
      <c r="G190">
        <v>12.7</v>
      </c>
      <c r="H190">
        <v>9</v>
      </c>
      <c r="I190">
        <v>6.5</v>
      </c>
      <c r="J190">
        <v>3.9</v>
      </c>
      <c r="K190">
        <v>3</v>
      </c>
      <c r="L190">
        <v>3.1</v>
      </c>
      <c r="M190">
        <v>2.9</v>
      </c>
      <c r="N190">
        <v>2.8</v>
      </c>
    </row>
    <row r="191" spans="1:14" x14ac:dyDescent="0.25">
      <c r="A191" s="4" t="s">
        <v>381</v>
      </c>
      <c r="B191" t="s">
        <v>382</v>
      </c>
    </row>
    <row r="192" spans="1:14" x14ac:dyDescent="0.25">
      <c r="A192" s="4" t="s">
        <v>383</v>
      </c>
      <c r="B192" t="s">
        <v>384</v>
      </c>
    </row>
    <row r="193" spans="1:14" x14ac:dyDescent="0.25">
      <c r="A193" s="4" t="s">
        <v>385</v>
      </c>
      <c r="B193" t="s">
        <v>386</v>
      </c>
    </row>
    <row r="194" spans="1:14" x14ac:dyDescent="0.25">
      <c r="A194" s="4" t="s">
        <v>387</v>
      </c>
      <c r="B194" t="s">
        <v>388</v>
      </c>
      <c r="F194">
        <v>3.1</v>
      </c>
      <c r="G194">
        <v>2.7</v>
      </c>
      <c r="H194">
        <v>2.7</v>
      </c>
      <c r="I194">
        <v>2</v>
      </c>
      <c r="J194">
        <v>1.6</v>
      </c>
      <c r="K194">
        <v>2.1</v>
      </c>
      <c r="L194">
        <v>1.5</v>
      </c>
      <c r="M194">
        <v>1.9</v>
      </c>
      <c r="N194">
        <v>2.6</v>
      </c>
    </row>
    <row r="195" spans="1:14" x14ac:dyDescent="0.25">
      <c r="A195" s="4" t="s">
        <v>389</v>
      </c>
      <c r="B195" t="s">
        <v>390</v>
      </c>
      <c r="D195">
        <v>35</v>
      </c>
      <c r="E195">
        <v>45.9</v>
      </c>
      <c r="F195">
        <v>39.299999999999997</v>
      </c>
      <c r="G195">
        <v>37</v>
      </c>
      <c r="H195">
        <v>33.6</v>
      </c>
      <c r="I195">
        <v>38.4</v>
      </c>
      <c r="J195">
        <v>34.5</v>
      </c>
      <c r="K195">
        <v>31.7</v>
      </c>
      <c r="L195">
        <v>30.7</v>
      </c>
      <c r="M195">
        <v>28.8</v>
      </c>
      <c r="N195">
        <v>27.1</v>
      </c>
    </row>
    <row r="196" spans="1:14" x14ac:dyDescent="0.25">
      <c r="A196" s="4" t="s">
        <v>391</v>
      </c>
      <c r="B196" t="s">
        <v>392</v>
      </c>
      <c r="G196">
        <v>24.5</v>
      </c>
      <c r="H196">
        <v>22.4</v>
      </c>
      <c r="I196">
        <v>21.2</v>
      </c>
      <c r="J196">
        <v>28.6</v>
      </c>
      <c r="L196">
        <v>19.100000000000001</v>
      </c>
      <c r="M196">
        <v>20</v>
      </c>
      <c r="N196">
        <v>18.7</v>
      </c>
    </row>
    <row r="197" spans="1:14" x14ac:dyDescent="0.25">
      <c r="A197" s="4" t="s">
        <v>393</v>
      </c>
      <c r="B197" t="s">
        <v>394</v>
      </c>
    </row>
    <row r="198" spans="1:14" x14ac:dyDescent="0.25">
      <c r="A198" s="4" t="s">
        <v>395</v>
      </c>
      <c r="B198" t="s">
        <v>396</v>
      </c>
    </row>
    <row r="199" spans="1:14" x14ac:dyDescent="0.25">
      <c r="A199" s="4" t="s">
        <v>397</v>
      </c>
      <c r="B199" t="s">
        <v>398</v>
      </c>
    </row>
    <row r="200" spans="1:14" x14ac:dyDescent="0.25">
      <c r="A200" s="4" t="s">
        <v>399</v>
      </c>
      <c r="B200" t="s">
        <v>400</v>
      </c>
    </row>
    <row r="201" spans="1:14" x14ac:dyDescent="0.25">
      <c r="A201" s="4" t="s">
        <v>401</v>
      </c>
      <c r="B201" t="s">
        <v>402</v>
      </c>
      <c r="I201">
        <v>35.200000000000003</v>
      </c>
      <c r="J201">
        <v>29.5</v>
      </c>
      <c r="K201">
        <v>22.8</v>
      </c>
      <c r="L201">
        <v>21.7</v>
      </c>
      <c r="M201">
        <v>23.8</v>
      </c>
      <c r="N201">
        <v>27.5</v>
      </c>
    </row>
    <row r="202" spans="1:14" x14ac:dyDescent="0.25">
      <c r="A202" s="4" t="s">
        <v>403</v>
      </c>
      <c r="B202" t="s">
        <v>404</v>
      </c>
      <c r="C202">
        <v>37.9</v>
      </c>
      <c r="D202">
        <v>31.1</v>
      </c>
      <c r="E202">
        <v>26.2</v>
      </c>
      <c r="F202">
        <v>24.7</v>
      </c>
      <c r="G202">
        <v>21.8</v>
      </c>
      <c r="H202">
        <v>18.5</v>
      </c>
      <c r="I202">
        <v>15.3</v>
      </c>
      <c r="J202">
        <v>11.2</v>
      </c>
      <c r="K202">
        <v>7.3</v>
      </c>
      <c r="L202">
        <v>7</v>
      </c>
      <c r="M202">
        <v>5.6</v>
      </c>
      <c r="N202">
        <v>4.7</v>
      </c>
    </row>
    <row r="203" spans="1:14" x14ac:dyDescent="0.25">
      <c r="A203" s="4" t="s">
        <v>405</v>
      </c>
      <c r="B203" t="s">
        <v>406</v>
      </c>
      <c r="C203">
        <v>95.9</v>
      </c>
      <c r="H203">
        <v>93.7</v>
      </c>
      <c r="M203">
        <v>93.2</v>
      </c>
    </row>
    <row r="204" spans="1:14" x14ac:dyDescent="0.25">
      <c r="A204" s="4" t="s">
        <v>407</v>
      </c>
      <c r="B204" t="s">
        <v>408</v>
      </c>
      <c r="E204">
        <v>93.1</v>
      </c>
      <c r="F204">
        <v>92.7</v>
      </c>
      <c r="G204">
        <v>92.1</v>
      </c>
      <c r="H204">
        <v>91.3</v>
      </c>
      <c r="I204">
        <v>91.1</v>
      </c>
      <c r="J204">
        <v>90.5</v>
      </c>
      <c r="K204">
        <v>90.2</v>
      </c>
      <c r="L204">
        <v>89.9</v>
      </c>
      <c r="M204">
        <v>88.9</v>
      </c>
      <c r="N204">
        <v>87</v>
      </c>
    </row>
    <row r="205" spans="1:14" x14ac:dyDescent="0.25">
      <c r="A205" s="4" t="s">
        <v>409</v>
      </c>
      <c r="B205" t="s">
        <v>410</v>
      </c>
    </row>
    <row r="206" spans="1:14" x14ac:dyDescent="0.25">
      <c r="A206" s="4" t="s">
        <v>411</v>
      </c>
      <c r="B206" t="s">
        <v>412</v>
      </c>
      <c r="L206">
        <v>74.3</v>
      </c>
    </row>
    <row r="207" spans="1:14" x14ac:dyDescent="0.25">
      <c r="A207" s="4" t="s">
        <v>413</v>
      </c>
      <c r="B207" t="s">
        <v>414</v>
      </c>
      <c r="D207">
        <v>92</v>
      </c>
      <c r="H207">
        <v>88.8</v>
      </c>
      <c r="N207">
        <v>88.4</v>
      </c>
    </row>
    <row r="208" spans="1:14" x14ac:dyDescent="0.25">
      <c r="A208" s="4" t="s">
        <v>415</v>
      </c>
      <c r="B208" t="s">
        <v>416</v>
      </c>
    </row>
    <row r="209" spans="1:14" x14ac:dyDescent="0.25">
      <c r="A209" s="4" t="s">
        <v>417</v>
      </c>
      <c r="B209" t="s">
        <v>418</v>
      </c>
      <c r="H209">
        <v>87.3</v>
      </c>
    </row>
    <row r="210" spans="1:14" x14ac:dyDescent="0.25">
      <c r="A210" s="4" t="s">
        <v>419</v>
      </c>
      <c r="B210" t="s">
        <v>420</v>
      </c>
      <c r="F210">
        <v>96.1</v>
      </c>
      <c r="N210">
        <v>95</v>
      </c>
    </row>
    <row r="211" spans="1:14" x14ac:dyDescent="0.25">
      <c r="A211" s="4" t="s">
        <v>421</v>
      </c>
      <c r="B211" t="s">
        <v>422</v>
      </c>
      <c r="C211">
        <v>45.1</v>
      </c>
      <c r="D211">
        <v>46.9</v>
      </c>
      <c r="E211">
        <v>47</v>
      </c>
      <c r="F211">
        <v>47.7</v>
      </c>
      <c r="G211">
        <v>45.6</v>
      </c>
      <c r="H211">
        <v>45.6</v>
      </c>
      <c r="I211">
        <v>42.8</v>
      </c>
      <c r="J211">
        <v>39.6</v>
      </c>
      <c r="K211">
        <v>43.8</v>
      </c>
      <c r="L211">
        <v>43.5</v>
      </c>
      <c r="M211">
        <v>42.1</v>
      </c>
      <c r="N211">
        <v>42.1</v>
      </c>
    </row>
    <row r="212" spans="1:14" x14ac:dyDescent="0.25">
      <c r="A212" s="4" t="s">
        <v>423</v>
      </c>
      <c r="B212" t="s">
        <v>424</v>
      </c>
    </row>
    <row r="213" spans="1:14" x14ac:dyDescent="0.25">
      <c r="A213" s="4" t="s">
        <v>425</v>
      </c>
      <c r="B213" t="s">
        <v>426</v>
      </c>
    </row>
    <row r="214" spans="1:14" x14ac:dyDescent="0.25">
      <c r="A214" s="4" t="s">
        <v>427</v>
      </c>
      <c r="B214" t="s">
        <v>428</v>
      </c>
    </row>
    <row r="215" spans="1:14" x14ac:dyDescent="0.25">
      <c r="A215" s="4" t="s">
        <v>429</v>
      </c>
      <c r="B215" t="s">
        <v>430</v>
      </c>
    </row>
    <row r="216" spans="1:14" x14ac:dyDescent="0.25">
      <c r="A216" s="4" t="s">
        <v>431</v>
      </c>
      <c r="B216" t="s">
        <v>432</v>
      </c>
      <c r="L216">
        <v>86.1</v>
      </c>
    </row>
    <row r="217" spans="1:14" x14ac:dyDescent="0.25">
      <c r="A217" s="4" t="s">
        <v>433</v>
      </c>
      <c r="B217" t="s">
        <v>434</v>
      </c>
      <c r="C217">
        <v>91.1</v>
      </c>
      <c r="D217">
        <v>91</v>
      </c>
      <c r="E217">
        <v>90.9</v>
      </c>
      <c r="F217">
        <v>91.1</v>
      </c>
      <c r="G217">
        <v>90.7</v>
      </c>
      <c r="H217">
        <v>90.2</v>
      </c>
      <c r="I217">
        <v>89.6</v>
      </c>
      <c r="J217">
        <v>89.1</v>
      </c>
      <c r="K217">
        <v>88.6</v>
      </c>
      <c r="L217">
        <v>88.5</v>
      </c>
      <c r="M217">
        <v>88</v>
      </c>
      <c r="N217">
        <v>87.4</v>
      </c>
    </row>
    <row r="218" spans="1:14" x14ac:dyDescent="0.25">
      <c r="A218" s="4" t="s">
        <v>435</v>
      </c>
      <c r="B218" t="s">
        <v>436</v>
      </c>
    </row>
    <row r="219" spans="1:14" x14ac:dyDescent="0.25">
      <c r="A219" s="4" t="s">
        <v>437</v>
      </c>
      <c r="B219" t="s">
        <v>438</v>
      </c>
      <c r="C219">
        <v>90.5</v>
      </c>
      <c r="M219">
        <v>92.8</v>
      </c>
    </row>
    <row r="220" spans="1:14" x14ac:dyDescent="0.25">
      <c r="A220" s="4" t="s">
        <v>439</v>
      </c>
      <c r="B220" t="s">
        <v>440</v>
      </c>
    </row>
    <row r="221" spans="1:14" x14ac:dyDescent="0.25">
      <c r="A221" s="4" t="s">
        <v>441</v>
      </c>
      <c r="B221" t="s">
        <v>442</v>
      </c>
      <c r="G221">
        <v>5.0999999999999996</v>
      </c>
      <c r="H221">
        <v>3.1</v>
      </c>
      <c r="I221">
        <v>2.1</v>
      </c>
      <c r="J221">
        <v>2</v>
      </c>
      <c r="K221">
        <v>2.2000000000000002</v>
      </c>
      <c r="L221">
        <v>2.4</v>
      </c>
      <c r="M221">
        <v>2.2000000000000002</v>
      </c>
      <c r="N221">
        <v>2.2999999999999998</v>
      </c>
    </row>
    <row r="222" spans="1:14" x14ac:dyDescent="0.25">
      <c r="A222" s="4" t="s">
        <v>443</v>
      </c>
      <c r="B222" t="s">
        <v>444</v>
      </c>
      <c r="G222">
        <v>0.3</v>
      </c>
      <c r="H222">
        <v>0.4</v>
      </c>
      <c r="I222">
        <v>0.3</v>
      </c>
      <c r="J222">
        <v>0.2</v>
      </c>
      <c r="K222">
        <v>0.1</v>
      </c>
      <c r="L222">
        <v>0.2</v>
      </c>
      <c r="M222">
        <v>0.1</v>
      </c>
      <c r="N222">
        <v>0.2</v>
      </c>
    </row>
    <row r="223" spans="1:14" x14ac:dyDescent="0.25">
      <c r="A223" s="4" t="s">
        <v>445</v>
      </c>
      <c r="B223" t="s">
        <v>446</v>
      </c>
      <c r="C223">
        <v>0.2</v>
      </c>
      <c r="F223">
        <v>0.8</v>
      </c>
      <c r="G223">
        <v>0.9</v>
      </c>
      <c r="H223">
        <v>1.6</v>
      </c>
      <c r="I223">
        <v>0.9</v>
      </c>
      <c r="J223">
        <v>0.8</v>
      </c>
      <c r="K223">
        <v>1</v>
      </c>
      <c r="L223">
        <v>1</v>
      </c>
      <c r="M223">
        <v>1.2</v>
      </c>
      <c r="N223">
        <v>1.1000000000000001</v>
      </c>
    </row>
    <row r="224" spans="1:14" x14ac:dyDescent="0.25">
      <c r="A224" s="4" t="s">
        <v>447</v>
      </c>
      <c r="B224" t="s">
        <v>448</v>
      </c>
      <c r="C224">
        <v>85.4</v>
      </c>
      <c r="L224">
        <v>82.3</v>
      </c>
    </row>
    <row r="225" spans="1:14" x14ac:dyDescent="0.25">
      <c r="A225" s="4" t="s">
        <v>449</v>
      </c>
      <c r="B225" t="s">
        <v>450</v>
      </c>
    </row>
    <row r="226" spans="1:14" x14ac:dyDescent="0.25">
      <c r="A226" s="4" t="s">
        <v>451</v>
      </c>
      <c r="B226" t="s">
        <v>452</v>
      </c>
    </row>
    <row r="227" spans="1:14" x14ac:dyDescent="0.25">
      <c r="A227" s="4" t="s">
        <v>453</v>
      </c>
      <c r="B227" t="s">
        <v>454</v>
      </c>
      <c r="G227">
        <v>50.4</v>
      </c>
    </row>
    <row r="228" spans="1:14" x14ac:dyDescent="0.25">
      <c r="A228" s="4" t="s">
        <v>455</v>
      </c>
      <c r="B228" t="s">
        <v>456</v>
      </c>
    </row>
    <row r="229" spans="1:14" x14ac:dyDescent="0.25">
      <c r="A229" s="4" t="s">
        <v>457</v>
      </c>
      <c r="B229" t="s">
        <v>458</v>
      </c>
      <c r="F229">
        <v>95.9</v>
      </c>
      <c r="N229">
        <v>86.2</v>
      </c>
    </row>
    <row r="230" spans="1:14" x14ac:dyDescent="0.25">
      <c r="A230" s="4" t="s">
        <v>459</v>
      </c>
      <c r="B230" t="s">
        <v>460</v>
      </c>
    </row>
    <row r="231" spans="1:14" x14ac:dyDescent="0.25">
      <c r="A231" s="4" t="s">
        <v>461</v>
      </c>
      <c r="B231" t="s">
        <v>462</v>
      </c>
    </row>
    <row r="232" spans="1:14" x14ac:dyDescent="0.25">
      <c r="A232" s="4" t="s">
        <v>463</v>
      </c>
      <c r="B232" t="s">
        <v>464</v>
      </c>
      <c r="I232">
        <v>91.8</v>
      </c>
      <c r="N232">
        <v>90.6</v>
      </c>
    </row>
    <row r="233" spans="1:14" x14ac:dyDescent="0.25">
      <c r="A233" s="4" t="s">
        <v>465</v>
      </c>
      <c r="B233" t="s">
        <v>466</v>
      </c>
      <c r="C233">
        <v>48.6</v>
      </c>
      <c r="E233">
        <v>39.700000000000003</v>
      </c>
      <c r="G233">
        <v>33.4</v>
      </c>
      <c r="I233">
        <v>26.8</v>
      </c>
      <c r="J233">
        <v>24.5</v>
      </c>
      <c r="K233">
        <v>22.5</v>
      </c>
      <c r="L233">
        <v>20</v>
      </c>
      <c r="M233">
        <v>17.5</v>
      </c>
      <c r="N233">
        <v>13.4</v>
      </c>
    </row>
    <row r="234" spans="1:14" x14ac:dyDescent="0.25">
      <c r="A234" s="4" t="s">
        <v>467</v>
      </c>
      <c r="B234" t="s">
        <v>468</v>
      </c>
      <c r="F234">
        <v>89</v>
      </c>
      <c r="G234">
        <v>79.5</v>
      </c>
      <c r="J234">
        <v>70.7</v>
      </c>
      <c r="L234">
        <v>59.8</v>
      </c>
    </row>
    <row r="235" spans="1:14" x14ac:dyDescent="0.25">
      <c r="A235" s="4" t="s">
        <v>469</v>
      </c>
      <c r="B235" t="s">
        <v>470</v>
      </c>
    </row>
    <row r="236" spans="1:14" x14ac:dyDescent="0.25">
      <c r="A236" s="4" t="s">
        <v>471</v>
      </c>
      <c r="B236" t="s">
        <v>472</v>
      </c>
    </row>
    <row r="237" spans="1:14" x14ac:dyDescent="0.25">
      <c r="A237" s="4" t="s">
        <v>473</v>
      </c>
      <c r="B237" t="s">
        <v>474</v>
      </c>
      <c r="D237">
        <v>91</v>
      </c>
      <c r="J237">
        <v>96</v>
      </c>
    </row>
    <row r="238" spans="1:14" x14ac:dyDescent="0.25">
      <c r="A238" s="4" t="s">
        <v>475</v>
      </c>
      <c r="B238" t="s">
        <v>476</v>
      </c>
    </row>
    <row r="239" spans="1:14" x14ac:dyDescent="0.25">
      <c r="A239" s="4" t="s">
        <v>477</v>
      </c>
      <c r="B239" t="s">
        <v>478</v>
      </c>
      <c r="D239">
        <v>29.2</v>
      </c>
      <c r="L239">
        <v>31.9</v>
      </c>
    </row>
    <row r="240" spans="1:14" x14ac:dyDescent="0.25">
      <c r="A240" s="4" t="s">
        <v>479</v>
      </c>
      <c r="B240" t="s">
        <v>480</v>
      </c>
    </row>
    <row r="241" spans="1:14" x14ac:dyDescent="0.25">
      <c r="A241" s="4" t="s">
        <v>481</v>
      </c>
      <c r="B241" t="s">
        <v>482</v>
      </c>
    </row>
    <row r="242" spans="1:14" x14ac:dyDescent="0.25">
      <c r="A242" s="4" t="s">
        <v>483</v>
      </c>
      <c r="B242" t="s">
        <v>484</v>
      </c>
    </row>
    <row r="243" spans="1:14" x14ac:dyDescent="0.25">
      <c r="A243" s="4" t="s">
        <v>485</v>
      </c>
      <c r="B243" t="s">
        <v>486</v>
      </c>
      <c r="C243">
        <v>50.6</v>
      </c>
      <c r="H243">
        <v>41.5</v>
      </c>
      <c r="M243">
        <v>30.5</v>
      </c>
    </row>
    <row r="244" spans="1:14" x14ac:dyDescent="0.25">
      <c r="A244" s="4" t="s">
        <v>487</v>
      </c>
      <c r="B244" t="s">
        <v>488</v>
      </c>
      <c r="E244">
        <v>33.700000000000003</v>
      </c>
      <c r="F244">
        <v>37</v>
      </c>
      <c r="G244">
        <v>27</v>
      </c>
      <c r="H244">
        <v>24.6</v>
      </c>
      <c r="I244">
        <v>21.9</v>
      </c>
      <c r="J244">
        <v>19.100000000000001</v>
      </c>
      <c r="K244">
        <v>15.7</v>
      </c>
      <c r="L244">
        <v>15.7</v>
      </c>
      <c r="M244">
        <v>15.2</v>
      </c>
      <c r="N244">
        <v>13.1</v>
      </c>
    </row>
    <row r="245" spans="1:14" x14ac:dyDescent="0.25">
      <c r="A245" s="4" t="s">
        <v>489</v>
      </c>
      <c r="B245" t="s">
        <v>490</v>
      </c>
      <c r="M245">
        <v>46.7</v>
      </c>
    </row>
    <row r="246" spans="1:14" x14ac:dyDescent="0.25">
      <c r="A246" s="4" t="s">
        <v>491</v>
      </c>
      <c r="B246" t="s">
        <v>492</v>
      </c>
      <c r="C246">
        <v>99.4</v>
      </c>
      <c r="J246">
        <v>94.9</v>
      </c>
      <c r="N246">
        <v>93.2</v>
      </c>
    </row>
    <row r="247" spans="1:14" x14ac:dyDescent="0.25">
      <c r="A247" s="4" t="s">
        <v>493</v>
      </c>
      <c r="B247" t="s">
        <v>494</v>
      </c>
      <c r="E247">
        <v>94.2</v>
      </c>
      <c r="H247">
        <v>92.3</v>
      </c>
      <c r="L247">
        <v>89.1</v>
      </c>
    </row>
    <row r="248" spans="1:14" x14ac:dyDescent="0.25">
      <c r="A248" s="4" t="s">
        <v>495</v>
      </c>
      <c r="B248" t="s">
        <v>496</v>
      </c>
      <c r="E248">
        <v>43.5</v>
      </c>
      <c r="F248">
        <v>34.6</v>
      </c>
      <c r="G248">
        <v>26.7</v>
      </c>
      <c r="H248">
        <v>17</v>
      </c>
      <c r="I248">
        <v>13.4</v>
      </c>
      <c r="J248">
        <v>12.7</v>
      </c>
      <c r="K248">
        <v>7.2</v>
      </c>
      <c r="L248">
        <v>8.1999999999999993</v>
      </c>
      <c r="M248">
        <v>5.3</v>
      </c>
      <c r="N248">
        <v>4.5</v>
      </c>
    </row>
    <row r="249" spans="1:14" x14ac:dyDescent="0.25">
      <c r="A249" s="4" t="s">
        <v>497</v>
      </c>
      <c r="B249" t="s">
        <v>498</v>
      </c>
      <c r="C249">
        <v>70</v>
      </c>
      <c r="D249">
        <v>68.099999999999994</v>
      </c>
      <c r="E249">
        <v>65.400000000000006</v>
      </c>
      <c r="F249">
        <v>63.8</v>
      </c>
      <c r="G249">
        <v>60.9</v>
      </c>
      <c r="H249">
        <v>57.4</v>
      </c>
      <c r="I249">
        <v>54.6</v>
      </c>
      <c r="J249">
        <v>51.2</v>
      </c>
      <c r="K249">
        <v>49</v>
      </c>
      <c r="L249">
        <v>47.1</v>
      </c>
      <c r="M249">
        <v>43.9</v>
      </c>
      <c r="N249">
        <v>40.700000000000003</v>
      </c>
    </row>
    <row r="250" spans="1:14" x14ac:dyDescent="0.25">
      <c r="A250" s="4" t="s">
        <v>499</v>
      </c>
      <c r="B250" t="s">
        <v>500</v>
      </c>
      <c r="C250">
        <v>9.4</v>
      </c>
      <c r="D250">
        <v>10.4</v>
      </c>
      <c r="E250">
        <v>13.9</v>
      </c>
      <c r="F250">
        <v>18.3</v>
      </c>
      <c r="G250">
        <v>19.600000000000001</v>
      </c>
      <c r="H250">
        <v>17.600000000000001</v>
      </c>
      <c r="I250">
        <v>16.899999999999999</v>
      </c>
      <c r="J250">
        <v>14.7</v>
      </c>
      <c r="K250">
        <v>10.4</v>
      </c>
      <c r="L250">
        <v>9.8000000000000007</v>
      </c>
      <c r="M250">
        <v>8.6</v>
      </c>
      <c r="N250">
        <v>5.9</v>
      </c>
    </row>
    <row r="251" spans="1:14" x14ac:dyDescent="0.25">
      <c r="A251" s="4" t="s">
        <v>501</v>
      </c>
      <c r="B251" t="s">
        <v>502</v>
      </c>
      <c r="C251">
        <v>1.2</v>
      </c>
      <c r="G251">
        <v>1.7</v>
      </c>
      <c r="J251">
        <v>1.5</v>
      </c>
      <c r="M251">
        <v>1.7</v>
      </c>
    </row>
    <row r="252" spans="1:14" x14ac:dyDescent="0.25">
      <c r="A252" s="4" t="s">
        <v>503</v>
      </c>
      <c r="B252" t="s">
        <v>504</v>
      </c>
      <c r="C252">
        <v>96.4</v>
      </c>
      <c r="E252">
        <v>96.1</v>
      </c>
      <c r="F252">
        <v>96.4</v>
      </c>
    </row>
    <row r="253" spans="1:14" x14ac:dyDescent="0.25">
      <c r="A253" s="4" t="s">
        <v>505</v>
      </c>
      <c r="B253" t="s">
        <v>506</v>
      </c>
    </row>
    <row r="254" spans="1:14" x14ac:dyDescent="0.25">
      <c r="A254" s="4" t="s">
        <v>507</v>
      </c>
      <c r="B254" t="s">
        <v>508</v>
      </c>
      <c r="D254">
        <v>46.3</v>
      </c>
      <c r="E254">
        <v>56.5</v>
      </c>
      <c r="F254">
        <v>62.9</v>
      </c>
      <c r="G254">
        <v>58</v>
      </c>
      <c r="H254">
        <v>49.2</v>
      </c>
      <c r="I254">
        <v>36.1</v>
      </c>
    </row>
    <row r="255" spans="1:14" x14ac:dyDescent="0.25">
      <c r="A255" s="4" t="s">
        <v>509</v>
      </c>
      <c r="B255" t="s">
        <v>510</v>
      </c>
    </row>
    <row r="256" spans="1:14" x14ac:dyDescent="0.25">
      <c r="A256" s="4" t="s">
        <v>511</v>
      </c>
      <c r="B256" t="s">
        <v>512</v>
      </c>
    </row>
    <row r="257" spans="1:14" x14ac:dyDescent="0.25">
      <c r="A257" s="4" t="s">
        <v>513</v>
      </c>
      <c r="B257" t="s">
        <v>514</v>
      </c>
      <c r="E257">
        <v>89</v>
      </c>
      <c r="G257">
        <v>84.2</v>
      </c>
      <c r="I257">
        <v>79.900000000000006</v>
      </c>
      <c r="K257">
        <v>77.8</v>
      </c>
      <c r="M257">
        <v>46.8</v>
      </c>
    </row>
    <row r="258" spans="1:14" x14ac:dyDescent="0.25">
      <c r="A258" s="4" t="s">
        <v>515</v>
      </c>
      <c r="B258" t="s">
        <v>516</v>
      </c>
      <c r="M258">
        <v>72.400000000000006</v>
      </c>
    </row>
    <row r="259" spans="1:14" x14ac:dyDescent="0.25">
      <c r="A259" s="4" t="s">
        <v>517</v>
      </c>
      <c r="B259" t="s">
        <v>518</v>
      </c>
      <c r="C259">
        <v>66</v>
      </c>
      <c r="D259">
        <v>65.2</v>
      </c>
      <c r="E259">
        <v>64.2</v>
      </c>
      <c r="F259">
        <v>63.4</v>
      </c>
      <c r="G259">
        <v>62.1</v>
      </c>
      <c r="H259">
        <v>60.5</v>
      </c>
      <c r="I259">
        <v>59.1</v>
      </c>
      <c r="J259">
        <v>57.7</v>
      </c>
      <c r="K259">
        <v>56.6</v>
      </c>
      <c r="L259">
        <v>55.7</v>
      </c>
      <c r="M259">
        <v>53.9</v>
      </c>
      <c r="N259">
        <v>52.2</v>
      </c>
    </row>
    <row r="260" spans="1:14" x14ac:dyDescent="0.25">
      <c r="A260" s="4" t="s">
        <v>519</v>
      </c>
      <c r="B260" t="s">
        <v>520</v>
      </c>
      <c r="E260">
        <v>36.6</v>
      </c>
      <c r="K260">
        <v>35.9</v>
      </c>
    </row>
    <row r="261" spans="1:14" x14ac:dyDescent="0.25">
      <c r="A261" s="4" t="s">
        <v>521</v>
      </c>
      <c r="B261" t="s">
        <v>522</v>
      </c>
      <c r="F261">
        <v>58.1</v>
      </c>
      <c r="H261">
        <v>57.2</v>
      </c>
      <c r="I261">
        <v>59.1</v>
      </c>
      <c r="L261">
        <v>48.7</v>
      </c>
      <c r="M261">
        <v>49.7</v>
      </c>
      <c r="N261">
        <v>45.9</v>
      </c>
    </row>
    <row r="262" spans="1:14" x14ac:dyDescent="0.25">
      <c r="A262" s="4" t="s">
        <v>523</v>
      </c>
      <c r="B262" t="s">
        <v>524</v>
      </c>
      <c r="H262">
        <v>75.900000000000006</v>
      </c>
    </row>
    <row r="263" spans="1:14" x14ac:dyDescent="0.25">
      <c r="A263" s="4" t="s">
        <v>525</v>
      </c>
      <c r="B263" t="s">
        <v>526</v>
      </c>
      <c r="C263">
        <v>70.2</v>
      </c>
      <c r="H263">
        <v>67.7</v>
      </c>
      <c r="K263">
        <v>57.6</v>
      </c>
      <c r="M263">
        <v>56</v>
      </c>
    </row>
    <row r="264" spans="1:14" x14ac:dyDescent="0.25">
      <c r="A264" s="4" t="s">
        <v>527</v>
      </c>
      <c r="B264" t="s">
        <v>528</v>
      </c>
      <c r="E264">
        <v>92.9</v>
      </c>
      <c r="G264">
        <v>89.3</v>
      </c>
      <c r="I264">
        <v>90.4</v>
      </c>
      <c r="M264">
        <v>91.1</v>
      </c>
    </row>
    <row r="265" spans="1:14" x14ac:dyDescent="0.25">
      <c r="A265" s="4" t="s">
        <v>529</v>
      </c>
      <c r="B265" t="s">
        <v>530</v>
      </c>
      <c r="N265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few countries average variables</vt:lpstr>
      <vt:lpstr>few countries all variables</vt:lpstr>
      <vt:lpstr>GDP data</vt:lpstr>
      <vt:lpstr>gini data</vt:lpstr>
      <vt:lpstr>poverty 1.90 (2)</vt:lpstr>
      <vt:lpstr>poverty 1.90</vt:lpstr>
      <vt:lpstr>poverty 5.50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Dallas Novakowski</dc:creator>
  <cp:lastModifiedBy>Dallas Novakowski</cp:lastModifiedBy>
  <dcterms:created xsi:type="dcterms:W3CDTF">2021-03-01T17:36:31Z</dcterms:created>
  <dcterms:modified xsi:type="dcterms:W3CDTF">2021-03-10T21:19:51Z</dcterms:modified>
</cp:coreProperties>
</file>